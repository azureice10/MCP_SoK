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2" autoFilterDateGrouping="1"/>
  </bookViews>
  <sheets>
    <sheet name="Petunjuk" sheetId="1" state="visible" r:id="rId1"/>
    <sheet name="Koding" sheetId="2" state="visible" r:id="rId2"/>
    <sheet name="Kamus_Kode" sheetId="3" state="visible" r:id="rId3"/>
    <sheet name="Daftar" sheetId="4" state="visible" r:id="rId4"/>
    <sheet name="Koding_Korpus148" sheetId="5" state="visible" r:id="rId5"/>
    <sheet name="Ringkasan_Korpus148" sheetId="6" state="visible" r:id="rId6"/>
    <sheet name="Perlu_Tinjau" sheetId="7" state="visible" r:id="rId7"/>
    <sheet name="Normalisasi" sheetId="8" state="visible" r:id="rId8"/>
    <sheet name="Koding_85_Defenses" sheetId="9" state="visible" r:id="rId9"/>
  </sheets>
  <definedNames>
    <definedName name="_xlnm._FilterDatabase" localSheetId="1" hidden="1">'Koding'!$A$1:$AB$187</definedName>
  </definedNames>
  <calcPr calcId="191029" fullCalcOnLoad="1" iterateDelta="0.0001"/>
</workbook>
</file>

<file path=xl/styles.xml><?xml version="1.0" encoding="utf-8"?>
<styleSheet xmlns="http://schemas.openxmlformats.org/spreadsheetml/2006/main">
  <numFmts count="1">
    <numFmt numFmtId="164" formatCode="0.0%"/>
  </numFmts>
  <fonts count="7">
    <font>
      <name val="Calibri"/>
      <charset val="1"/>
      <family val="2"/>
      <color theme="1"/>
      <sz val="11"/>
    </font>
    <font>
      <name val="Arial"/>
      <charset val="1"/>
      <b val="1"/>
      <sz val="10"/>
    </font>
    <font>
      <name val="Arial"/>
      <charset val="1"/>
      <sz val="10"/>
    </font>
    <font>
      <name val="Arial"/>
      <charset val="1"/>
      <b val="1"/>
      <color rgb="FFFFFFFF"/>
      <sz val="10"/>
    </font>
    <font>
      <name val="Calibri"/>
      <charset val="1"/>
      <b val="1"/>
      <sz val="11"/>
    </font>
    <font>
      <name val="Arial"/>
      <charset val="1"/>
      <color rgb="FF0000FF"/>
      <sz val="10"/>
    </font>
    <font>
      <name val="Arial"/>
      <charset val="1"/>
      <b val="1"/>
      <color rgb="FFFFFFFF"/>
      <sz val="11"/>
    </font>
  </fonts>
  <fills count="8">
    <fill>
      <patternFill/>
    </fill>
    <fill>
      <patternFill patternType="gray125"/>
    </fill>
    <fill>
      <patternFill patternType="solid">
        <fgColor rgb="FF1F3864"/>
        <bgColor rgb="FF333333"/>
      </patternFill>
    </fill>
    <fill>
      <patternFill patternType="solid">
        <fgColor rgb="FFFFF2CC"/>
        <bgColor rgb="FFF2F2F2"/>
      </patternFill>
    </fill>
    <fill>
      <patternFill patternType="solid">
        <fgColor rgb="FFD9E1F2"/>
        <bgColor rgb="FFDDEBF7"/>
      </patternFill>
    </fill>
    <fill>
      <patternFill patternType="solid">
        <fgColor rgb="FFEDEDED"/>
        <bgColor rgb="FFF2F2F2"/>
      </patternFill>
    </fill>
    <fill>
      <patternFill patternType="solid">
        <fgColor rgb="FFDDEBF7"/>
        <bgColor rgb="FFD9E1F2"/>
      </patternFill>
    </fill>
    <fill>
      <patternFill patternType="solid">
        <fgColor rgb="FFF2F2F2"/>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wrapText="1"/>
    </xf>
    <xf numFmtId="0" fontId="2" fillId="3" borderId="0" applyAlignment="1" pivotButton="0" quotePrefix="0" xfId="0">
      <alignment wrapText="1"/>
    </xf>
    <xf numFmtId="0" fontId="2" fillId="0" borderId="0" pivotButton="0" quotePrefix="0" xfId="0"/>
    <xf numFmtId="0" fontId="3" fillId="2" borderId="1" applyAlignment="1" pivotButton="0" quotePrefix="0" xfId="0">
      <alignment vertical="center" wrapText="1"/>
    </xf>
    <xf numFmtId="0" fontId="4" fillId="4" borderId="0" pivotButton="0" quotePrefix="0" xfId="0"/>
    <xf numFmtId="0" fontId="2" fillId="5" borderId="1" applyAlignment="1" pivotButton="0" quotePrefix="0" xfId="0">
      <alignment vertical="top" wrapText="1"/>
    </xf>
    <xf numFmtId="0" fontId="5" fillId="5" borderId="1" applyAlignment="1" pivotButton="0" quotePrefix="0" xfId="0">
      <alignment vertical="top" wrapText="1"/>
    </xf>
    <xf numFmtId="0" fontId="2" fillId="3"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0" fillId="7" borderId="0" pivotButton="0" quotePrefix="0" xfId="0"/>
    <xf numFmtId="0" fontId="3" fillId="2" borderId="0" applyAlignment="1" pivotButton="0" quotePrefix="0" xfId="0">
      <alignment vertical="top" wrapText="1"/>
    </xf>
    <xf numFmtId="0" fontId="1" fillId="0" borderId="0" pivotButton="0" quotePrefix="0" xfId="0"/>
    <xf numFmtId="164" fontId="0" fillId="0" borderId="0" pivotButton="0" quotePrefix="0" xfId="0"/>
    <xf numFmtId="0" fontId="3" fillId="2" borderId="0" pivotButton="0" quotePrefix="0" xfId="0"/>
    <xf numFmtId="0" fontId="6" fillId="2" borderId="0" pivotButton="0" quotePrefix="0" xfId="0"/>
    <xf numFmtId="0" fontId="2" fillId="0" borderId="0" pivotButton="0" quotePrefix="0" xfId="0"/>
    <xf numFmtId="0" fontId="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DEDE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rxiv.org/abs/2509.22814" TargetMode="External" Id="rId1" /><Relationship Type="http://schemas.openxmlformats.org/officeDocument/2006/relationships/hyperlink" Target="https://arxiv.org/abs/2608.18351" TargetMode="External" Id="rId2" /><Relationship Type="http://schemas.openxmlformats.org/officeDocument/2006/relationships/hyperlink" Target="https://doi.org/10.1145/3806007.3810961" TargetMode="External" Id="rId3" /><Relationship Type="http://schemas.openxmlformats.org/officeDocument/2006/relationships/hyperlink" Target="https://arxiv.org/abs/2605.24248" TargetMode="External" Id="rId4" /><Relationship Type="http://schemas.openxmlformats.org/officeDocument/2006/relationships/hyperlink" Target="https://arxiv.org/abs/2604.16838" TargetMode="External" Id="rId5" /><Relationship Type="http://schemas.openxmlformats.org/officeDocument/2006/relationships/hyperlink" Target="https://arxiv.org/abs/2607.14754" TargetMode="External" Id="rId6" /><Relationship Type="http://schemas.openxmlformats.org/officeDocument/2006/relationships/hyperlink" Target="https://arxiv.org/abs/2510.23673" TargetMode="External" Id="rId7" /><Relationship Type="http://schemas.openxmlformats.org/officeDocument/2006/relationships/hyperlink" Target="https://arxiv.org/abs/2608.14680" TargetMode="External" Id="rId8" /><Relationship Type="http://schemas.openxmlformats.org/officeDocument/2006/relationships/hyperlink" Target="https://arxiv.org/abs/2605.17380" TargetMode="External" Id="rId9" /><Relationship Type="http://schemas.openxmlformats.org/officeDocument/2006/relationships/hyperlink" Target="https://arxiv.org/abs/2510.21236" TargetMode="External" Id="rId10" /><Relationship Type="http://schemas.openxmlformats.org/officeDocument/2006/relationships/hyperlink" Target="https://arxiv.org/abs/2605.26159" TargetMode="External" Id="rId11" /><Relationship Type="http://schemas.openxmlformats.org/officeDocument/2006/relationships/hyperlink" Target="https://doi.org/10.1109/noms69089.2026.11668221" TargetMode="External" Id="rId12" /><Relationship Type="http://schemas.openxmlformats.org/officeDocument/2006/relationships/hyperlink" Target="https://doi.org/10.1109/ojcs.2026.3664314" TargetMode="External" Id="rId13" /><Relationship Type="http://schemas.openxmlformats.org/officeDocument/2006/relationships/hyperlink" Target="https://arxiv.org/abs/2609.14744" TargetMode="External" Id="rId14" /><Relationship Type="http://schemas.openxmlformats.org/officeDocument/2006/relationships/hyperlink" Target="https://arxiv.org/abs/2608.14074" TargetMode="External" Id="rId15" /><Relationship Type="http://schemas.openxmlformats.org/officeDocument/2006/relationships/hyperlink" Target="https://arxiv.org/abs/2512.14737" TargetMode="External" Id="rId16" /><Relationship Type="http://schemas.openxmlformats.org/officeDocument/2006/relationships/hyperlink" Target="https://arxiv.org/abs/2603.22853" TargetMode="External" Id="rId17" /><Relationship Type="http://schemas.openxmlformats.org/officeDocument/2006/relationships/hyperlink" Target="https://arxiv.org/abs/2609.22573" TargetMode="External" Id="rId18" /><Relationship Type="http://schemas.openxmlformats.org/officeDocument/2006/relationships/hyperlink" Target="https://doi.org/10.18653/v1/2025.emnlp-main.62" TargetMode="External" Id="rId19" /><Relationship Type="http://schemas.openxmlformats.org/officeDocument/2006/relationships/hyperlink" Target="https://arxiv.org/abs/2604.25555" TargetMode="External" Id="rId20" /><Relationship Type="http://schemas.openxmlformats.org/officeDocument/2006/relationships/hyperlink" Target="https://doi.org/10.48550/arxiv.2504.19997" TargetMode="External" Id="rId21" /><Relationship Type="http://schemas.openxmlformats.org/officeDocument/2006/relationships/hyperlink" Target="https://doi.org/10.22541/au.175761889.90929465/v1" TargetMode="External" Id="rId22" /><Relationship Type="http://schemas.openxmlformats.org/officeDocument/2006/relationships/hyperlink" Target="https://arxiv.org/abs/2606.01991" TargetMode="External" Id="rId23" /><Relationship Type="http://schemas.openxmlformats.org/officeDocument/2006/relationships/hyperlink" Target="https://arxiv.org/abs/2506.01333" TargetMode="External" Id="rId24" /><Relationship Type="http://schemas.openxmlformats.org/officeDocument/2006/relationships/hyperlink" Target="https://arxiv.org/abs/2609.14780" TargetMode="External" Id="rId25" /><Relationship Type="http://schemas.openxmlformats.org/officeDocument/2006/relationships/hyperlink" Target="https://arxiv.org/abs/2604.05969" TargetMode="External" Id="rId26" /><Relationship Type="http://schemas.openxmlformats.org/officeDocument/2006/relationships/hyperlink" Target="https://doi.org/10.1145/3786160.3788471" TargetMode="External" Id="rId27" /><Relationship Type="http://schemas.openxmlformats.org/officeDocument/2006/relationships/hyperlink" Target="https://arxiv.org/abs/2604.17125" TargetMode="External" Id="rId28" /><Relationship Type="http://schemas.openxmlformats.org/officeDocument/2006/relationships/hyperlink" Target="https://arxiv.org/abs/2607.25297" TargetMode="External" Id="rId29" /><Relationship Type="http://schemas.openxmlformats.org/officeDocument/2006/relationships/hyperlink" Target="https://doi.org/10.3390/electronics15132829" TargetMode="External" Id="rId30" /><Relationship Type="http://schemas.openxmlformats.org/officeDocument/2006/relationships/hyperlink" Target="https://doi.org/10.1145/3737897.3767287" TargetMode="External" Id="rId31" /><Relationship Type="http://schemas.openxmlformats.org/officeDocument/2006/relationships/hyperlink" Target="https://arxiv.org/abs/2608.20481" TargetMode="External" Id="rId32" /><Relationship Type="http://schemas.openxmlformats.org/officeDocument/2006/relationships/hyperlink" Target="https://arxiv.org/abs/2608.10760" TargetMode="External" Id="rId33" /><Relationship Type="http://schemas.openxmlformats.org/officeDocument/2006/relationships/hyperlink" Target="https://arxiv.org/abs/2604.10534" TargetMode="External" Id="rId34" /><Relationship Type="http://schemas.openxmlformats.org/officeDocument/2006/relationships/hyperlink" Target="https://arxiv.org/abs/2603.02240" TargetMode="External" Id="rId35" /><Relationship Type="http://schemas.openxmlformats.org/officeDocument/2006/relationships/hyperlink" Target="https://arxiv.org/abs/2608.24957" TargetMode="External" Id="rId36" /><Relationship Type="http://schemas.openxmlformats.org/officeDocument/2006/relationships/hyperlink" Target="https://arxiv.org/abs/2508.10991" TargetMode="External" Id="rId37" /><Relationship Type="http://schemas.openxmlformats.org/officeDocument/2006/relationships/hyperlink" Target="https://arxiv.org/abs/2605.05260" TargetMode="External" Id="rId38" /><Relationship Type="http://schemas.openxmlformats.org/officeDocument/2006/relationships/hyperlink" Target="https://arxiv.org/abs/2602.01129" TargetMode="External" Id="rId39" /><Relationship Type="http://schemas.openxmlformats.org/officeDocument/2006/relationships/hyperlink" Target="https://arxiv.org/abs/2607.07461" TargetMode="External" Id="rId40" /><Relationship Type="http://schemas.openxmlformats.org/officeDocument/2006/relationships/hyperlink" Target="https://arxiv.org/abs/2510.26212" TargetMode="External" Id="rId41" /><Relationship Type="http://schemas.openxmlformats.org/officeDocument/2006/relationships/hyperlink" Target="https://arxiv.org/abs/2604.01905" TargetMode="External" Id="rId42" /><Relationship Type="http://schemas.openxmlformats.org/officeDocument/2006/relationships/hyperlink" Target="https://arxiv.org/abs/2605.11360" TargetMode="External" Id="rId43" /><Relationship Type="http://schemas.openxmlformats.org/officeDocument/2006/relationships/hyperlink" Target="https://arxiv.org/abs/2609.10854" TargetMode="External" Id="rId44" /><Relationship Type="http://schemas.openxmlformats.org/officeDocument/2006/relationships/hyperlink" Target="https://arxiv.org/abs/2602.14281" TargetMode="External" Id="rId45" /><Relationship Type="http://schemas.openxmlformats.org/officeDocument/2006/relationships/hyperlink" Target="https://arxiv.org/abs/2508.20412" TargetMode="External" Id="rId46" /><Relationship Type="http://schemas.openxmlformats.org/officeDocument/2006/relationships/hyperlink" Target="https://arxiv.org/abs/2609.02690" TargetMode="External" Id="rId47" /><Relationship Type="http://schemas.openxmlformats.org/officeDocument/2006/relationships/hyperlink" Target="https://arxiv.org/abs/2510.19462" TargetMode="External" Id="rId48" /><Relationship Type="http://schemas.openxmlformats.org/officeDocument/2006/relationships/hyperlink" Target="https://arxiv.org/abs/2601.01241" TargetMode="External" Id="rId49" /><Relationship Type="http://schemas.openxmlformats.org/officeDocument/2006/relationships/hyperlink" Target="https://doi.org/10.1109/siitme67657.2025.11293682" TargetMode="External" Id="rId50" /><Relationship Type="http://schemas.openxmlformats.org/officeDocument/2006/relationships/hyperlink" Target="https://doi.org/10.1145/3766882.3767177" TargetMode="External" Id="rId51" /><Relationship Type="http://schemas.openxmlformats.org/officeDocument/2006/relationships/hyperlink" Target="https://arxiv.org/abs/2511.20920" TargetMode="External" Id="rId52" /><Relationship Type="http://schemas.openxmlformats.org/officeDocument/2006/relationships/hyperlink" Target="https://doi.org/10.1109/AIoT66900.2025.00032" TargetMode="External" Id="rId53" /><Relationship Type="http://schemas.openxmlformats.org/officeDocument/2006/relationships/hyperlink" Target="https://doi.org/10.1007/978-3-032-25187-9_44" TargetMode="External" Id="rId54" /><Relationship Type="http://schemas.openxmlformats.org/officeDocument/2006/relationships/hyperlink" Target="https://arxiv.org/abs/2506.13666" TargetMode="External" Id="rId55" /><Relationship Type="http://schemas.openxmlformats.org/officeDocument/2006/relationships/hyperlink" Target="https://arxiv.org/abs/2602.19021" TargetMode="External" Id="rId56" /><Relationship Type="http://schemas.openxmlformats.org/officeDocument/2006/relationships/hyperlink" Target="https://doi.org/10.3390/fi18050243" TargetMode="External" Id="rId57" /><Relationship Type="http://schemas.openxmlformats.org/officeDocument/2006/relationships/hyperlink" Target="https://doi.org/10.1007/978-3-032-31998-2_13" TargetMode="External" Id="rId58" /><Relationship Type="http://schemas.openxmlformats.org/officeDocument/2006/relationships/hyperlink" Target="https://arxiv.org/abs/2604.07551" TargetMode="External" Id="rId59" /><Relationship Type="http://schemas.openxmlformats.org/officeDocument/2006/relationships/hyperlink" Target="https://doi.org/10.1109/ICoAIT67446.2025.11308830" TargetMode="External" Id="rId60" /><Relationship Type="http://schemas.openxmlformats.org/officeDocument/2006/relationships/hyperlink" Target="https://doi.org/10.1109/ISED67359.2025.11405153" TargetMode="External" Id="rId61" /><Relationship Type="http://schemas.openxmlformats.org/officeDocument/2006/relationships/hyperlink" Target="https://doi.org/10.1109/acai68217.2025.11406667" TargetMode="External" Id="rId62" /><Relationship Type="http://schemas.openxmlformats.org/officeDocument/2006/relationships/hyperlink" Target="https://doi.org/10.3390/app16167915" TargetMode="External" Id="rId63" /><Relationship Type="http://schemas.openxmlformats.org/officeDocument/2006/relationships/hyperlink" Target="https://doi.org/10.63282/3050-9416.ijaibdcms-v5i1p118" TargetMode="External" Id="rId64" /><Relationship Type="http://schemas.openxmlformats.org/officeDocument/2006/relationships/hyperlink" Target="https://doi.org/10.55041/ijsrem49289" TargetMode="External" Id="rId65" /><Relationship Type="http://schemas.openxmlformats.org/officeDocument/2006/relationships/hyperlink" Target="https://doi.org/10.37082/ijirmps.v13.i6.232959" TargetMode="External" Id="rId66" /><Relationship Type="http://schemas.openxmlformats.org/officeDocument/2006/relationships/hyperlink" Target="https://doi.org/10.21275/sr26316110418" TargetMode="External" Id="rId67" /><Relationship Type="http://schemas.openxmlformats.org/officeDocument/2006/relationships/hyperlink" Target="https://doi.org/10.1109/iccbi68589.2026.11619741" TargetMode="External" Id="rId68" /><Relationship Type="http://schemas.openxmlformats.org/officeDocument/2006/relationships/hyperlink" Target="https://doi.org/10.1109/ICAIC67076.2026.11395848" TargetMode="External" Id="rId69" /><Relationship Type="http://schemas.openxmlformats.org/officeDocument/2006/relationships/hyperlink" Target="https://arxiv.org/abs/2504.08623" TargetMode="External" Id="rId70" /><Relationship Type="http://schemas.openxmlformats.org/officeDocument/2006/relationships/hyperlink" Target="https://arxiv.org/abs/2509.24272" TargetMode="External" Id="rId71" /><Relationship Type="http://schemas.openxmlformats.org/officeDocument/2006/relationships/hyperlink" Target="https://arxiv.org/abs/2503.23278" TargetMode="External" Id="rId72" /><Relationship Type="http://schemas.openxmlformats.org/officeDocument/2006/relationships/hyperlink" Target="https://arxiv.org/abs/2504.03767" TargetMode="External" Id="rId73" /><Relationship Type="http://schemas.openxmlformats.org/officeDocument/2006/relationships/hyperlink" Target="https://arxiv.org/abs/2609.00267" TargetMode="External" Id="rId74" /><Relationship Type="http://schemas.openxmlformats.org/officeDocument/2006/relationships/hyperlink" Target="https://arxiv.org/abs/2605.24069" TargetMode="External" Id="rId75" /><Relationship Type="http://schemas.openxmlformats.org/officeDocument/2006/relationships/hyperlink" Target="https://arxiv.org/abs/2507.06323" TargetMode="External" Id="rId76" /><Relationship Type="http://schemas.openxmlformats.org/officeDocument/2006/relationships/hyperlink" Target="https://arxiv.org/abs/2512.02321" TargetMode="External" Id="rId77" /><Relationship Type="http://schemas.openxmlformats.org/officeDocument/2006/relationships/hyperlink" Target="https://arxiv.org/abs/2504.08999" TargetMode="External" Id="rId78" /><Relationship Type="http://schemas.openxmlformats.org/officeDocument/2006/relationships/hyperlink" Target="https://arxiv.org/abs/2512.03775" TargetMode="External" Id="rId79" /><Relationship Type="http://schemas.openxmlformats.org/officeDocument/2006/relationships/hyperlink" Target="https://arxiv.org/abs/2603.22489" TargetMode="External" Id="rId80" /><Relationship Type="http://schemas.openxmlformats.org/officeDocument/2006/relationships/hyperlink" Target="https://arxiv.org/abs/2508.06418" TargetMode="External" Id="rId81" /><Relationship Type="http://schemas.openxmlformats.org/officeDocument/2006/relationships/hyperlink" Target="https://arxiv.org/abs/2605.22333" TargetMode="External" Id="rId82" /><Relationship Type="http://schemas.openxmlformats.org/officeDocument/2006/relationships/hyperlink" Target="https://arxiv.org/abs/2608.23763" TargetMode="External" Id="rId83" /><Relationship Type="http://schemas.openxmlformats.org/officeDocument/2006/relationships/hyperlink" Target="https://arxiv.org/abs/2601.20184" TargetMode="External" Id="rId84" /><Relationship Type="http://schemas.openxmlformats.org/officeDocument/2006/relationships/hyperlink" Target="https://doi.org/10.25559/sitito.021.202503.420-428" TargetMode="External" Id="rId85" /><Relationship Type="http://schemas.openxmlformats.org/officeDocument/2006/relationships/hyperlink" Target="https://arxiv.org/abs/2607.11086" TargetMode="External" Id="rId86" /><Relationship Type="http://schemas.openxmlformats.org/officeDocument/2006/relationships/hyperlink" Target="https://arxiv.org/abs/2605.21392" TargetMode="External" Id="rId87" /><Relationship Type="http://schemas.openxmlformats.org/officeDocument/2006/relationships/hyperlink" Target="https://doi.org/10.1109/TEMSMET65536.2025.11467437" TargetMode="External" Id="rId88" /><Relationship Type="http://schemas.openxmlformats.org/officeDocument/2006/relationships/hyperlink" Target="https://arxiv.org/abs/2512.06556" TargetMode="External" Id="rId89" /><Relationship Type="http://schemas.openxmlformats.org/officeDocument/2006/relationships/hyperlink" Target="https://arxiv.org/abs/2601.23132" TargetMode="External" Id="rId90" /><Relationship Type="http://schemas.openxmlformats.org/officeDocument/2006/relationships/hyperlink" Target="https://arxiv.org/abs/2603.09134" TargetMode="External" Id="rId91" /><Relationship Type="http://schemas.openxmlformats.org/officeDocument/2006/relationships/hyperlink" Target="https://arxiv.org/abs/2504.12757" TargetMode="External" Id="rId92" /><Relationship Type="http://schemas.openxmlformats.org/officeDocument/2006/relationships/hyperlink" Target="https://arxiv.org/abs/2605.28914" TargetMode="External" Id="rId93" /><Relationship Type="http://schemas.openxmlformats.org/officeDocument/2006/relationships/hyperlink" Target="https://arxiv.org/abs/2606.04769" TargetMode="External" Id="rId94" /><Relationship Type="http://schemas.openxmlformats.org/officeDocument/2006/relationships/hyperlink" Target="https://arxiv.org/abs/2509.01619" TargetMode="External" Id="rId95" /><Relationship Type="http://schemas.openxmlformats.org/officeDocument/2006/relationships/hyperlink" Target="https://doi.org/10.20944/preprints202504.0245.v1" TargetMode="External" Id="rId96" /><Relationship Type="http://schemas.openxmlformats.org/officeDocument/2006/relationships/hyperlink" Target="https://arxiv.org/abs/2604.05440" TargetMode="External" Id="rId97" /><Relationship Type="http://schemas.openxmlformats.org/officeDocument/2006/relationships/hyperlink" Target="https://arxiv.org/abs/2603.21642" TargetMode="External" Id="rId98" /><Relationship Type="http://schemas.openxmlformats.org/officeDocument/2006/relationships/hyperlink" Target="https://arxiv.org/abs/2603.21641" TargetMode="External" Id="rId99" /><Relationship Type="http://schemas.openxmlformats.org/officeDocument/2006/relationships/hyperlink" Target="https://arxiv.org/abs/2602.20720" TargetMode="External" Id="rId100" /><Relationship Type="http://schemas.openxmlformats.org/officeDocument/2006/relationships/hyperlink" Target="https://arxiv.org/abs/2508.19500" TargetMode="External" Id="rId101" /><Relationship Type="http://schemas.openxmlformats.org/officeDocument/2006/relationships/hyperlink" Target="https://arxiv.org/abs/2510.15994" TargetMode="External" Id="rId102" /><Relationship Type="http://schemas.openxmlformats.org/officeDocument/2006/relationships/hyperlink" Target="https://arxiv.org/abs/2608.00997" TargetMode="External" Id="rId103" /><Relationship Type="http://schemas.openxmlformats.org/officeDocument/2006/relationships/hyperlink" Target="https://doi.org/10.6084/m9.figshare.32978657" TargetMode="External" Id="rId104" /><Relationship Type="http://schemas.openxmlformats.org/officeDocument/2006/relationships/hyperlink" Target="https://arxiv.org/abs/2606.07992" TargetMode="External" Id="rId105" /><Relationship Type="http://schemas.openxmlformats.org/officeDocument/2006/relationships/hyperlink" Target="https://arxiv.org/abs/2606.00962" TargetMode="External" Id="rId106" /><Relationship Type="http://schemas.openxmlformats.org/officeDocument/2006/relationships/hyperlink" Target="https://arxiv.org/abs/2509.25292" TargetMode="External" Id="rId107" /><Relationship Type="http://schemas.openxmlformats.org/officeDocument/2006/relationships/hyperlink" Target="https://arxiv.org/abs/2607.14642" TargetMode="External" Id="rId108" /><Relationship Type="http://schemas.openxmlformats.org/officeDocument/2006/relationships/hyperlink" Target="https://doi.org/10.37547/tajet/volume08issue03-12" TargetMode="External" Id="rId109" /><Relationship Type="http://schemas.openxmlformats.org/officeDocument/2006/relationships/hyperlink" Target="https://arxiv.org/abs/2511.05867" TargetMode="External" Id="rId110" /><Relationship Type="http://schemas.openxmlformats.org/officeDocument/2006/relationships/hyperlink" Target="https://doi.org/10.3390/electronics15102214" TargetMode="External" Id="rId111" /><Relationship Type="http://schemas.openxmlformats.org/officeDocument/2006/relationships/hyperlink" Target="https://arxiv.org/abs/2605.11217" TargetMode="External" Id="rId112" /><Relationship Type="http://schemas.openxmlformats.org/officeDocument/2006/relationships/hyperlink" Target="https://arxiv.org/abs/2606.05339" TargetMode="External" Id="rId113" /><Relationship Type="http://schemas.openxmlformats.org/officeDocument/2006/relationships/hyperlink" Target="https://arxiv.org/abs/2601.10955" TargetMode="External" Id="rId114" /><Relationship Type="http://schemas.openxmlformats.org/officeDocument/2006/relationships/hyperlink" Target="https://arxiv.org/abs/2609.26761" TargetMode="External" Id="rId115" /><Relationship Type="http://schemas.openxmlformats.org/officeDocument/2006/relationships/hyperlink" Target="https://arxiv.org/abs/2609.19425" TargetMode="External" Id="rId116" /><Relationship Type="http://schemas.openxmlformats.org/officeDocument/2006/relationships/hyperlink" Target="https://arxiv.org/abs/2606.27027" TargetMode="External" Id="rId117" /><Relationship Type="http://schemas.openxmlformats.org/officeDocument/2006/relationships/hyperlink" Target="https://doi.org/10.35444/ijana.2026.17605" TargetMode="External" Id="rId118" /><Relationship Type="http://schemas.openxmlformats.org/officeDocument/2006/relationships/hyperlink" Target="https://doi.org/10.46481/jnsps.2026.3748" TargetMode="External" Id="rId119" /><Relationship Type="http://schemas.openxmlformats.org/officeDocument/2006/relationships/hyperlink" Target="https://doi.org/10.52783/jisem.v11i1s.14215" TargetMode="External" Id="rId120" /><Relationship Type="http://schemas.openxmlformats.org/officeDocument/2006/relationships/hyperlink" Target="https://arxiv.org/abs/2601.02698" TargetMode="External" Id="rId121" /><Relationship Type="http://schemas.openxmlformats.org/officeDocument/2006/relationships/hyperlink" Target="https://arxiv.org/abs/2603.05637" TargetMode="External" Id="rId122" /><Relationship Type="http://schemas.openxmlformats.org/officeDocument/2006/relationships/hyperlink" Target="https://arxiv.org/abs/2607.02116" TargetMode="External" Id="rId123" /><Relationship Type="http://schemas.openxmlformats.org/officeDocument/2006/relationships/hyperlink" Target="https://doi.org/10.2139/ssrn.6891368" TargetMode="External" Id="rId124" /><Relationship Type="http://schemas.openxmlformats.org/officeDocument/2006/relationships/hyperlink" Target="https://arxiv.org/abs/2607.05744" TargetMode="External" Id="rId125" /><Relationship Type="http://schemas.openxmlformats.org/officeDocument/2006/relationships/hyperlink" Target="https://arxiv.org/abs/2506.13538" TargetMode="External" Id="rId126" /><Relationship Type="http://schemas.openxmlformats.org/officeDocument/2006/relationships/hyperlink" Target="https://arxiv.org/abs/2609.19100" TargetMode="External" Id="rId127" /><Relationship Type="http://schemas.openxmlformats.org/officeDocument/2006/relationships/hyperlink" Target="https://arxiv.org/abs/2609.19091" TargetMode="External" Id="rId128" /><Relationship Type="http://schemas.openxmlformats.org/officeDocument/2006/relationships/hyperlink" Target="https://arxiv.org/abs/2609.18217" TargetMode="External" Id="rId129" /><Relationship Type="http://schemas.openxmlformats.org/officeDocument/2006/relationships/hyperlink" Target="https://arxiv.org/abs/2603.10163" TargetMode="External" Id="rId130" /><Relationship Type="http://schemas.openxmlformats.org/officeDocument/2006/relationships/hyperlink" Target="https://arxiv.org/abs/2601.17548" TargetMode="External" Id="rId131" /><Relationship Type="http://schemas.openxmlformats.org/officeDocument/2006/relationships/hyperlink" Target="https://arxiv.org/abs/2608.00150" TargetMode="External" Id="rId132" /><Relationship Type="http://schemas.openxmlformats.org/officeDocument/2006/relationships/hyperlink" Target="https://arxiv.org/abs/2507.19880" TargetMode="External" Id="rId133" /><Relationship Type="http://schemas.openxmlformats.org/officeDocument/2006/relationships/hyperlink" Target="https://arxiv.org/abs/2609.14119" TargetMode="External" Id="rId134" /><Relationship Type="http://schemas.openxmlformats.org/officeDocument/2006/relationships/hyperlink" Target="https://arxiv.org/abs/2607.19432" TargetMode="External" Id="rId135" /><Relationship Type="http://schemas.openxmlformats.org/officeDocument/2006/relationships/hyperlink" Target="https://doi.org/10.36227/techrxiv.174495492.22752319/v1" TargetMode="External" Id="rId136" /><Relationship Type="http://schemas.openxmlformats.org/officeDocument/2006/relationships/hyperlink" Target="https://arxiv.org/abs/2602.18914" TargetMode="External" Id="rId137" /><Relationship Type="http://schemas.openxmlformats.org/officeDocument/2006/relationships/hyperlink" Target="https://arxiv.org/abs/2509.21011" TargetMode="External" Id="rId138" /><Relationship Type="http://schemas.openxmlformats.org/officeDocument/2006/relationships/hyperlink" Target="https://arxiv.org/abs/2603.10194" TargetMode="External" Id="rId139" /><Relationship Type="http://schemas.openxmlformats.org/officeDocument/2006/relationships/hyperlink" Target="https://arxiv.org/abs/2608.17275" TargetMode="External" Id="rId140" /><Relationship Type="http://schemas.openxmlformats.org/officeDocument/2006/relationships/hyperlink" Target="https://arxiv.org/abs/2609.15906" TargetMode="External" Id="rId141" /><Relationship Type="http://schemas.openxmlformats.org/officeDocument/2006/relationships/hyperlink" Target="https://arxiv.org/abs/2601.07395" TargetMode="External" Id="rId142" /><Relationship Type="http://schemas.openxmlformats.org/officeDocument/2006/relationships/hyperlink" Target="https://arxiv.org/abs/2604.21477" TargetMode="External" Id="rId143" /><Relationship Type="http://schemas.openxmlformats.org/officeDocument/2006/relationships/hyperlink" Target="https://arxiv.org/abs/2609.18120" TargetMode="External" Id="rId144" /><Relationship Type="http://schemas.openxmlformats.org/officeDocument/2006/relationships/hyperlink" Target="https://arxiv.org/abs/2606.10322" TargetMode="External" Id="rId145" /><Relationship Type="http://schemas.openxmlformats.org/officeDocument/2006/relationships/hyperlink" Target="https://doi.org/10.1109/INFOCOM59046.2026.11571532" TargetMode="External" Id="rId146" /><Relationship Type="http://schemas.openxmlformats.org/officeDocument/2006/relationships/hyperlink" Target="https://doi.org/10.24108/preprints-3115116" TargetMode="External" Id="rId147" /><Relationship Type="http://schemas.openxmlformats.org/officeDocument/2006/relationships/hyperlink" Target="https://arxiv.org/abs/2512.08290" TargetMode="External" Id="rId148" /><Relationship Type="http://schemas.openxmlformats.org/officeDocument/2006/relationships/hyperlink" Target="https://arxiv.org/abs/2509.06572" TargetMode="External" Id="rId149" /><Relationship Type="http://schemas.openxmlformats.org/officeDocument/2006/relationships/hyperlink" Target="https://arxiv.org/abs/2511.15998" TargetMode="External" Id="rId150" /><Relationship Type="http://schemas.openxmlformats.org/officeDocument/2006/relationships/hyperlink" Target="https://arxiv.org/abs/2605.11053" TargetMode="External" Id="rId151" /><Relationship Type="http://schemas.openxmlformats.org/officeDocument/2006/relationships/hyperlink" Target="https://arxiv.org/abs/2603.24775" TargetMode="External" Id="rId152" /><Relationship Type="http://schemas.openxmlformats.org/officeDocument/2006/relationships/hyperlink" Target="https://doi.org/10.22541/au.175555093.31837381/v1" TargetMode="External" Id="rId153" /><Relationship Type="http://schemas.openxmlformats.org/officeDocument/2006/relationships/hyperlink" Target="https://arxiv.org/abs/2605.09817" TargetMode="External" Id="rId154" /><Relationship Type="http://schemas.openxmlformats.org/officeDocument/2006/relationships/hyperlink" Target="https://arxiv.org/abs/2606.01138" TargetMode="External" Id="rId155" /><Relationship Type="http://schemas.openxmlformats.org/officeDocument/2006/relationships/hyperlink" Target="https://arxiv.org/abs/2606.29073" TargetMode="External" Id="rId156" /><Relationship Type="http://schemas.openxmlformats.org/officeDocument/2006/relationships/hyperlink" Target="https://doi.org/10.61643/c38836" TargetMode="External" Id="rId157" /><Relationship Type="http://schemas.openxmlformats.org/officeDocument/2006/relationships/hyperlink" Target="https://arxiv.org/abs/2510.16558" TargetMode="External" Id="rId158" /><Relationship Type="http://schemas.openxmlformats.org/officeDocument/2006/relationships/hyperlink" Target="https://arxiv.org/abs/2509.15572" TargetMode="External" Id="rId159" /><Relationship Type="http://schemas.openxmlformats.org/officeDocument/2006/relationships/hyperlink" Target="https://arxiv.org/abs/2605.07836" TargetMode="External" Id="rId160" /><Relationship Type="http://schemas.openxmlformats.org/officeDocument/2006/relationships/hyperlink" Target="https://arxiv.org/abs/2512.15163" TargetMode="External" Id="rId161" /><Relationship Type="http://schemas.openxmlformats.org/officeDocument/2006/relationships/hyperlink" Target="https://arxiv.org/abs/2507.17852" TargetMode="External" Id="rId162" /><Relationship Type="http://schemas.openxmlformats.org/officeDocument/2006/relationships/hyperlink" Target="https://arxiv.org/abs/2603.18063" TargetMode="External" Id="rId163" /><Relationship Type="http://schemas.openxmlformats.org/officeDocument/2006/relationships/hyperlink" Target="https://arxiv.org/abs/2604.13849" TargetMode="External" Id="rId164" /><Relationship Type="http://schemas.openxmlformats.org/officeDocument/2006/relationships/hyperlink" Target="https://doi.org/10.48550/arxiv.2504.16736" TargetMode="External" Id="rId165" /><Relationship Type="http://schemas.openxmlformats.org/officeDocument/2006/relationships/hyperlink" Target="https://arxiv.org/abs/2508.13220" TargetMode="External" Id="rId166" /><Relationship Type="http://schemas.openxmlformats.org/officeDocument/2006/relationships/hyperlink" Target="https://arxiv.org/abs/2508.12538" TargetMode="External" Id="rId167" /><Relationship Type="http://schemas.openxmlformats.org/officeDocument/2006/relationships/hyperlink" Target="https://arxiv.org/abs/2506.15253" TargetMode="External" Id="rId168" /><Relationship Type="http://schemas.openxmlformats.org/officeDocument/2006/relationships/hyperlink" Target="https://arxiv.org/abs/2603.07473" TargetMode="External" Id="rId169" /><Relationship Type="http://schemas.openxmlformats.org/officeDocument/2006/relationships/hyperlink" Target="https://arxiv.org/abs/2603.24203" TargetMode="External" Id="rId170" /><Relationship Type="http://schemas.openxmlformats.org/officeDocument/2006/relationships/hyperlink" Target="https://arxiv.org/abs/2512.14166" TargetMode="External" Id="rId171" /><Relationship Type="http://schemas.openxmlformats.org/officeDocument/2006/relationships/hyperlink" Target="https://arxiv.org/abs/2602.15945" TargetMode="External" Id="rId172" /><Relationship Type="http://schemas.openxmlformats.org/officeDocument/2006/relationships/hyperlink" Target="https://arxiv.org/abs/2602.11327" TargetMode="External" Id="rId173" /><Relationship Type="http://schemas.openxmlformats.org/officeDocument/2006/relationships/hyperlink" Target="https://arxiv.org/abs/2510.02677" TargetMode="External" Id="rId174" /><Relationship Type="http://schemas.openxmlformats.org/officeDocument/2006/relationships/hyperlink" Target="https://doi.org/10.1609/aaai.v40i42.40898" TargetMode="External" Id="rId175" /><Relationship Type="http://schemas.openxmlformats.org/officeDocument/2006/relationships/hyperlink" Target="https://arxiv.org/abs/2507.06250" TargetMode="External" Id="rId176" /><Relationship Type="http://schemas.openxmlformats.org/officeDocument/2006/relationships/hyperlink" Target="https://arxiv.org/abs/2602.03580" TargetMode="External" Id="rId177" /><Relationship Type="http://schemas.openxmlformats.org/officeDocument/2006/relationships/hyperlink" Target="https://arxiv.org/abs/2508.14925" TargetMode="External" Id="rId178" /><Relationship Type="http://schemas.openxmlformats.org/officeDocument/2006/relationships/hyperlink" Target="https://doi.org/10.1145/3830467" TargetMode="External" Id="rId179" /><Relationship Type="http://schemas.openxmlformats.org/officeDocument/2006/relationships/hyperlink" Target="https://arxiv.org/abs/2604.18874" TargetMode="External" Id="rId180" /></Relationships>
</file>

<file path=xl/worksheets/sheet1.xml><?xml version="1.0" encoding="utf-8"?>
<worksheet xmlns="http://schemas.openxmlformats.org/spreadsheetml/2006/main">
  <sheetPr>
    <outlinePr summaryBelow="1" summaryRight="1"/>
    <pageSetUpPr/>
  </sheetPr>
  <dimension ref="A1:O18"/>
  <sheetViews>
    <sheetView zoomScaleNormal="100" workbookViewId="0">
      <selection activeCell="A1" sqref="A1"/>
    </sheetView>
  </sheetViews>
  <sheetFormatPr baseColWidth="8" defaultColWidth="8.6328125" defaultRowHeight="14.5"/>
  <cols>
    <col width="150" customWidth="1" style="21" min="1" max="1"/>
    <col width="20" customWidth="1" style="21" min="2" max="15"/>
  </cols>
  <sheetData>
    <row r="1" ht="15" customHeight="1" s="21">
      <c r="A1" s="1" t="inlineStr">
        <is>
          <t>LEMBAR KODING PERTAHANAN MCP (v1.1) - untuk Section 6 / Tabel 16</t>
        </is>
      </c>
    </row>
    <row r="2" ht="15" customHeight="1" s="21">
      <c r="A2" s="2" t="inlineStr">
        <is>
          <t>Korpus: 186 record MCP-spesifik setelah dedup putaran kedua (file final_corpus_ids_186.csv).</t>
        </is>
      </c>
    </row>
    <row r="3" ht="15" customHeight="1" s="21">
      <c r="A3" s="2" t="n"/>
    </row>
    <row r="4" ht="15" customHeight="1" s="21">
      <c r="A4" s="1" t="inlineStr">
        <is>
          <t>CARA MENGISI</t>
        </is>
      </c>
    </row>
    <row r="5" ht="15" customHeight="1" s="21">
      <c r="A5" s="2" t="inlineStr">
        <is>
          <t>1. Kolom KUNING = diisi manusia. Kolom ABU-ABU = informasi. Kolom BIRU = rumus otomatis (jangan diedit).</t>
        </is>
      </c>
    </row>
    <row r="6" ht="23.25" customHeight="1" s="21">
      <c r="A6" s="2" t="inlineStr">
        <is>
          <t>2. Urutan kerja: baris "kandidat_agent" dulu, lalu "kandidat_cek_recall" (agent melabeli none, tetapi judul/abstrak menunjukkan pertahanan), lalu "scan_cepat" (cukup pastikan peran bukan pertahanan).</t>
        </is>
      </c>
    </row>
    <row r="7" ht="15" customHeight="1" s="21">
      <c r="A7" s="2" t="inlineStr">
        <is>
          <t>3. Isi kolom "peran" untuk semua baris. Kolom mekanisme dan evaluasi hanya untuk peran defense_primary, defense_secondary, dan proposal_only.</t>
        </is>
      </c>
    </row>
    <row r="8" ht="23.25" customHeight="1" s="21">
      <c r="A8" s="2" t="inlineStr">
        <is>
          <t>4. Kode evaluasi dari bagian metode/eksperimen teks lengkap, bukan dari judul atau abstrak. Tanpa teks lengkap: isi peran, nama, paradigma, mekanisme; kosongkan kolom evaluasi (teks_lengkap_tersedia = tidak).</t>
        </is>
      </c>
    </row>
    <row r="9" ht="15" customHeight="1" s="21">
      <c r="A9" s="2" t="inlineStr">
        <is>
          <t>5. Kolom "kutipan_adaptif" wajib bila adaptif = ya (maks 25 kata, persis dari paper). Kolom "lokasi_bukti" wajib untuk setiap entri yang dievaluasi.</t>
        </is>
      </c>
    </row>
    <row r="10" ht="23.25" customHeight="1" s="21">
      <c r="A10" s="2" t="inlineStr">
        <is>
          <t>6. Maturitas dihitung otomatis: L3 = spec_normatif atau produksi_bukti_publik; L2 = ada evaluasi independen; L1 = dievaluasi penulis sendiri; L0 = tanpa evaluasi (isi jenis_evaluasi = none). Jangan diisi manual.</t>
        </is>
      </c>
    </row>
    <row r="11" ht="15" customHeight="1" s="21">
      <c r="A11" s="2" t="inlineStr">
        <is>
          <t>7. Kolom "cek_konsistensi" harus kosong pada baris yang sudah selesai. Bila berisi PERIKSA, perbaiki isian.</t>
        </is>
      </c>
    </row>
    <row r="12" ht="15" customHeight="1" s="21">
      <c r="A12" s="2" t="inlineStr">
        <is>
          <t>8. Sheet "Ringkasan" menghitung semua statistik langsung dari Koding (dengan penyebut). Jangan salin angka dari ingatan.</t>
        </is>
      </c>
    </row>
    <row r="13" ht="15" customHeight="1" s="21">
      <c r="A13" s="2" t="inlineStr">
        <is>
          <t>9. Satu paper dengan beberapa pertahanan terpisah: duplikasi barisnya (salin baris, ubah nama_pertahanan), jangan menggabungkan.</t>
        </is>
      </c>
    </row>
    <row r="14" ht="15" customHeight="1" s="21">
      <c r="A14" s="2" t="n"/>
    </row>
    <row r="15" ht="15" customHeight="1" s="21">
      <c r="A15" s="1" t="inlineStr">
        <is>
          <t>CONTOH PENGISIAN (bukan data nyata; kolom sama dengan sheet Koding)</t>
        </is>
      </c>
    </row>
    <row r="16" ht="23.25" customHeight="1" s="21">
      <c r="B16" s="3" t="inlineStr">
        <is>
          <t>peran</t>
        </is>
      </c>
      <c r="C16" s="3" t="inlineStr">
        <is>
          <t>paradigma</t>
        </is>
      </c>
      <c r="D16" s="3" t="inlineStr">
        <is>
          <t>llm_dlm_keputusan</t>
        </is>
      </c>
      <c r="E16" s="3" t="inlineStr">
        <is>
          <t>titik_penegakan</t>
        </is>
      </c>
      <c r="F16" s="3" t="inlineStr">
        <is>
          <t>crossings</t>
        </is>
      </c>
      <c r="G16" s="3" t="inlineStr">
        <is>
          <t>kelas_diklaim</t>
        </is>
      </c>
      <c r="H16" s="3" t="inlineStr">
        <is>
          <t>kelas_dievaluasi</t>
        </is>
      </c>
      <c r="I16" s="3" t="inlineStr">
        <is>
          <t>jenis_evaluasi</t>
        </is>
      </c>
      <c r="J16" s="3" t="inlineStr">
        <is>
          <t>asal_set_serangan</t>
        </is>
      </c>
      <c r="K16" s="3" t="inlineStr">
        <is>
          <t>adaptif</t>
        </is>
      </c>
      <c r="L16" s="3" t="inlineStr">
        <is>
          <t>kutipan_adaptif</t>
        </is>
      </c>
      <c r="M16" s="3" t="inlineStr">
        <is>
          <t>lokasi_bukti</t>
        </is>
      </c>
      <c r="N16" s="3" t="inlineStr">
        <is>
          <t>deployment</t>
        </is>
      </c>
      <c r="O16" s="3" t="inlineStr">
        <is>
          <t>maturitas (hasil rumus)</t>
        </is>
      </c>
    </row>
    <row r="17" ht="15" customHeight="1" s="21">
      <c r="B17" s="4" t="inlineStr">
        <is>
          <t>defense_primary</t>
        </is>
      </c>
      <c r="C17" s="4" t="inlineStr">
        <is>
          <t>isolation_containment</t>
        </is>
      </c>
      <c r="D17" s="4" t="inlineStr">
        <is>
          <t>tidak</t>
        </is>
      </c>
      <c r="E17" s="4" t="inlineStr">
        <is>
          <t>S</t>
        </is>
      </c>
      <c r="F17" s="4" t="inlineStr">
        <is>
          <t>R5</t>
        </is>
      </c>
      <c r="G17" s="4" t="inlineStr">
        <is>
          <t>C5</t>
        </is>
      </c>
      <c r="H17" s="4" t="inlineStr">
        <is>
          <t>C5</t>
        </is>
      </c>
      <c r="I17" s="4" t="inlineStr">
        <is>
          <t>author_run</t>
        </is>
      </c>
      <c r="J17" s="4" t="inlineStr">
        <is>
          <t>authors_own</t>
        </is>
      </c>
      <c r="K17" s="4" t="inlineStr">
        <is>
          <t>tidak</t>
        </is>
      </c>
      <c r="L17" s="4" t="inlineStr">
        <is>
          <t>(kosong)</t>
        </is>
      </c>
      <c r="M17" s="4" t="inlineStr">
        <is>
          <t>Section 5, Table 3</t>
        </is>
      </c>
      <c r="N17" s="4" t="inlineStr">
        <is>
          <t>prototype_open_source</t>
        </is>
      </c>
      <c r="O17" s="4" t="inlineStr">
        <is>
          <t>L1</t>
        </is>
      </c>
    </row>
    <row r="18" ht="15" customHeight="1" s="21">
      <c r="B18" s="20" t="inlineStr">
        <is>
          <t>Contoh: sandbox subprocess yang dievaluasi penulis pada 20 kasus path traversal dengan set serangan buatan sendiri; tidak ada serangan yang disesuaikan terhadap sandbox, jadi adaptif = tidak.</t>
        </is>
      </c>
    </row>
  </sheetData>
  <mergeCells count="1">
    <mergeCell ref="B18:O18"/>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E187"/>
  <sheetViews>
    <sheetView tabSelected="1" zoomScaleNormal="100" workbookViewId="0">
      <pane xSplit="2" ySplit="1" topLeftCell="E107" activePane="bottomRight" state="frozen"/>
      <selection pane="topRight" activeCell="A1" sqref="A1"/>
      <selection pane="bottomLeft" activeCell="A1" sqref="A1"/>
      <selection pane="bottomRight" activeCell="A1" sqref="A1"/>
    </sheetView>
  </sheetViews>
  <sheetFormatPr baseColWidth="8" defaultColWidth="8.6328125" defaultRowHeight="14.5"/>
  <cols>
    <col width="30" customWidth="1" style="21" min="1" max="1"/>
    <col width="48" customWidth="1" style="21" min="2" max="2"/>
    <col width="7" customWidth="1" style="21" min="3" max="3"/>
    <col width="6" customWidth="1" style="21" min="4" max="4"/>
    <col width="18" customWidth="1" style="21" min="5" max="5"/>
    <col width="14" customWidth="1" style="21" min="6" max="6"/>
    <col width="34" customWidth="1" style="21" min="7" max="7"/>
    <col width="12" customWidth="1" style="21" min="8" max="8"/>
    <col width="20" customWidth="1" style="21" min="9" max="9"/>
    <col width="22" customWidth="1" style="21" min="10" max="10"/>
    <col width="24" customWidth="1" style="21" min="11" max="11"/>
    <col width="44" customWidth="1" style="21" min="12" max="12"/>
    <col width="13" customWidth="1" style="21" min="13" max="13"/>
    <col width="16" customWidth="1" style="21" min="14" max="14"/>
    <col width="14" customWidth="1" style="21" min="15" max="15"/>
    <col width="16" customWidth="1" style="21" min="16" max="16"/>
    <col width="18" customWidth="1" style="21" min="17" max="17"/>
    <col width="20" customWidth="1" style="21" min="18" max="18"/>
    <col width="26" customWidth="1" style="21" min="19" max="19"/>
    <col width="16" customWidth="1" style="21" min="20" max="20"/>
    <col width="18" customWidth="1" style="21" min="21" max="21"/>
    <col width="40" customWidth="1" style="21" min="22" max="22"/>
    <col width="20" customWidth="1" style="21" min="23" max="24"/>
    <col width="26" customWidth="1" style="21" min="25" max="25"/>
    <col width="30" customWidth="1" style="21" min="26" max="26"/>
    <col width="12" customWidth="1" style="21" min="27" max="27"/>
    <col width="44" customWidth="1" style="21" min="28" max="28"/>
  </cols>
  <sheetData>
    <row r="1" ht="48" customHeight="1" s="21">
      <c r="A1" s="6" t="inlineStr">
        <is>
          <t>record_id</t>
        </is>
      </c>
      <c r="B1" s="6" t="inlineStr">
        <is>
          <t>judul</t>
        </is>
      </c>
      <c r="C1" s="6" t="inlineStr">
        <is>
          <t>tahun</t>
        </is>
      </c>
      <c r="D1" s="6" t="inlineStr">
        <is>
          <t>tier</t>
        </is>
      </c>
      <c r="E1" s="6" t="inlineStr">
        <is>
          <t>triase</t>
        </is>
      </c>
      <c r="F1" s="6" t="inlineStr">
        <is>
          <t>agent_role (referensi)</t>
        </is>
      </c>
      <c r="G1" s="6" t="inlineStr">
        <is>
          <t>tautan</t>
        </is>
      </c>
      <c r="H1" s="6" t="inlineStr">
        <is>
          <t>teks_lengkap_tersedia</t>
        </is>
      </c>
      <c r="I1" s="6" t="inlineStr">
        <is>
          <t>peran</t>
        </is>
      </c>
      <c r="J1" s="6" t="inlineStr">
        <is>
          <t>nama_pertahanan</t>
        </is>
      </c>
      <c r="K1" s="6" t="inlineStr">
        <is>
          <t>paradigma</t>
        </is>
      </c>
      <c r="L1" s="6" t="inlineStr">
        <is>
          <t>ringkasan_mekanisme (kata sendiri, maks 2 kalimat)</t>
        </is>
      </c>
      <c r="M1" s="6" t="inlineStr">
        <is>
          <t>llm_dlm_keputusan</t>
        </is>
      </c>
      <c r="N1" s="6" t="inlineStr">
        <is>
          <t>titik_penegakan</t>
        </is>
      </c>
      <c r="O1" s="6" t="inlineStr">
        <is>
          <t>crossings (R1-R7, pisah ;)</t>
        </is>
      </c>
      <c r="P1" s="6" t="inlineStr">
        <is>
          <t>kelas_diklaim (A1-D3, pisah ;)</t>
        </is>
      </c>
      <c r="Q1" s="6" t="inlineStr">
        <is>
          <t>kelas_dievaluasi (hanya yang ada eksperimen)</t>
        </is>
      </c>
      <c r="R1" s="6" t="inlineStr">
        <is>
          <t>jenis_evaluasi</t>
        </is>
      </c>
      <c r="S1" s="6" t="inlineStr">
        <is>
          <t>evaluator_independen (record_id)</t>
        </is>
      </c>
      <c r="T1" s="6" t="inlineStr">
        <is>
          <t>asal_set_serangan</t>
        </is>
      </c>
      <c r="U1" s="6" t="inlineStr">
        <is>
          <t>adaptif</t>
        </is>
      </c>
      <c r="V1" s="6" t="inlineStr">
        <is>
          <t>kutipan_adaptif (maks 25 kata)</t>
        </is>
      </c>
      <c r="W1" s="6" t="inlineStr">
        <is>
          <t>lokasi_bukti (bagian/tabel/hal.)</t>
        </is>
      </c>
      <c r="X1" s="6" t="inlineStr">
        <is>
          <t>deployment</t>
        </is>
      </c>
      <c r="Y1" s="6" t="inlineStr">
        <is>
          <t>biaya_utilitas</t>
        </is>
      </c>
      <c r="Z1" s="6" t="inlineStr">
        <is>
          <t>catatan</t>
        </is>
      </c>
      <c r="AA1" s="6" t="inlineStr">
        <is>
          <t>maturitas (otomatis)</t>
        </is>
      </c>
      <c r="AB1" s="6" t="inlineStr">
        <is>
          <t>cek_konsistensi (otomatis)</t>
        </is>
      </c>
      <c r="AC1" s="7" t="inlineStr">
        <is>
          <t>korpus_v5</t>
        </is>
      </c>
      <c r="AD1" s="7" t="inlineStr">
        <is>
          <t>kode_eksklusi_v5</t>
        </is>
      </c>
      <c r="AE1" s="7" t="inlineStr">
        <is>
          <t>catatan_audit_v5</t>
        </is>
      </c>
    </row>
    <row r="2" ht="23.25" customHeight="1" s="21">
      <c r="A2" s="8" t="inlineStr">
        <is>
          <t>aditi-2025-model-context-protocol-vision-systems</t>
        </is>
      </c>
      <c r="B2" s="8" t="inlineStr">
        <is>
          <t>Model Context Protocol for Vision Systems: Audit, Security, and Protocol Extensions</t>
        </is>
      </c>
      <c r="C2" s="8" t="n">
        <v>2025</v>
      </c>
      <c r="D2" s="8" t="inlineStr">
        <is>
          <t>E2</t>
        </is>
      </c>
      <c r="E2" s="8" t="inlineStr">
        <is>
          <t>kandidat_agent</t>
        </is>
      </c>
      <c r="F2" s="8" t="inlineStr">
        <is>
          <t>primary</t>
        </is>
      </c>
      <c r="G2" s="9" t="inlineStr">
        <is>
          <t>https://arxiv.org/abs/2509.22814</t>
        </is>
      </c>
      <c r="H2" s="10" t="inlineStr">
        <is>
          <t>ya</t>
        </is>
      </c>
      <c r="I2" s="10" t="inlineStr">
        <is>
          <t>proposal_only</t>
        </is>
      </c>
      <c r="J2" s="10" t="inlineStr">
        <is>
          <t>unnamed:vision-protocol-extensions</t>
        </is>
      </c>
      <c r="K2" s="10" t="inlineStr">
        <is>
          <t>protocol_provision</t>
        </is>
      </c>
      <c r="L2" s="10" t="inlineStr">
        <is>
          <t>Usulan ekstensi skema semantik MCP dan validator prototipe untuk membatasi aksi visi di testbed terkontrol.</t>
        </is>
      </c>
      <c r="M2" s="10" t="inlineStr">
        <is>
          <t>tidak</t>
        </is>
      </c>
      <c r="N2" s="10" t="inlineStr">
        <is>
          <t>registry</t>
        </is>
      </c>
      <c r="O2" s="10" t="inlineStr">
        <is>
          <t>R2;R5</t>
        </is>
      </c>
      <c r="P2" s="10" t="inlineStr">
        <is>
          <t>A3;B3;C5</t>
        </is>
      </c>
      <c r="Q2" s="10" t="n"/>
      <c r="R2" s="10" t="inlineStr">
        <is>
          <t>none</t>
        </is>
      </c>
      <c r="S2" s="10" t="n"/>
      <c r="T2" s="10" t="inlineStr">
        <is>
          <t>none</t>
        </is>
      </c>
      <c r="U2" s="10" t="inlineStr">
        <is>
          <t>n/a_tanpa_evaluasi</t>
        </is>
      </c>
      <c r="V2" s="10" t="n"/>
      <c r="W2" s="10" t="n"/>
      <c r="X2" s="10" t="inlineStr">
        <is>
          <t>none</t>
        </is>
      </c>
      <c r="Y2" s="10" t="inlineStr">
        <is>
          <t>not_reported</t>
        </is>
      </c>
      <c r="Z2" s="10" t="inlineStr">
        <is>
          <t>Proposal ekstensi protokol MCP dengan skema semantik dan validator prototipe tanpa evaluasi terhadap serangan. Catatan deployment: prototipe internal/eksperimental (belum dirilis secara publik).</t>
        </is>
      </c>
      <c r="AA2" s="11">
        <f>IF(I2="","",IF(OR(I2="attack",I2="survey_review",I2="benchmark_measurement",I2="position_other",I2="not_defense"),"n/a",IF(OR(X2="spec_normatif",X2="produksi_bukti_publik"),"L3",IF(ISNUMBER(SEARCH("independent",R2)),"L2",IF(R2="author_run","L1",IF(R2="none","L0",""))))))</f>
        <v/>
      </c>
      <c r="AB2" s="11">
        <f>IF(I2="","",IF(AND(K2="deterministic_policy",M2="ya"),"PERIKSA: deterministic_policy tetapi LLM/ML ada dalam keputusan. ","")&amp;IF(AND(U2="ya",V2=""),"PERIKSA: adaptif=ya wajib ada kutipan. ","")&amp;IF(AND(R2="none",U2&lt;&gt;"n/a_tanpa_evaluasi",U2&lt;&gt;""),"PERIKSA: tanpa evaluasi, adaptif harus n/a. ","")&amp;IF(AND(OR(R2="author_run",R2="author_run+independent",R2="independent_only"),Q2=""),"PERIKSA: isi kelas_dievaluasi. ","")&amp;IF(AND(OR(R2="author_run",R2="author_run+independent",R2="independent_only"),W2=""),"PERIKSA: isi lokasi_bukti. ","")&amp;IF(AND(H2="tidak",R2&lt;&gt;""),"PERIKSA: tanpa teks lengkap, kosongkan kolom evaluasi. ",""))</f>
        <v/>
      </c>
      <c r="AC2" t="inlineStr">
        <is>
          <t>include</t>
        </is>
      </c>
    </row>
    <row r="3" ht="23.25" customHeight="1" s="21">
      <c r="A3" s="12" t="inlineStr">
        <is>
          <t>alexander-2026-task-conditioned-least-privilege-learning</t>
        </is>
      </c>
      <c r="B3" s="12" t="inlineStr">
        <is>
          <t>Task-Conditioned Least-Privilege Learning for Executable Terminal and MCP Agents</t>
        </is>
      </c>
      <c r="C3" s="12" t="n">
        <v>2026</v>
      </c>
      <c r="D3" s="12" t="inlineStr">
        <is>
          <t>E2</t>
        </is>
      </c>
      <c r="E3" s="12" t="inlineStr">
        <is>
          <t>kandidat_agent</t>
        </is>
      </c>
      <c r="F3" s="12" t="inlineStr">
        <is>
          <t>primary</t>
        </is>
      </c>
      <c r="G3" s="13" t="inlineStr">
        <is>
          <t>https://arxiv.org/abs/2608.18351</t>
        </is>
      </c>
      <c r="H3" s="12" t="inlineStr">
        <is>
          <t>tidak</t>
        </is>
      </c>
      <c r="I3" s="12" t="inlineStr">
        <is>
          <t>not_defense</t>
        </is>
      </c>
      <c r="J3" s="12" t="n"/>
      <c r="K3" s="12" t="n"/>
      <c r="L3" s="12" t="n"/>
      <c r="M3" s="12" t="n"/>
      <c r="N3" s="12" t="n"/>
      <c r="O3" s="12" t="n"/>
      <c r="P3" s="12" t="n"/>
      <c r="Q3" s="12" t="n"/>
      <c r="R3" s="12" t="n"/>
      <c r="S3" s="12" t="n"/>
      <c r="T3" s="12" t="n"/>
      <c r="U3" s="12" t="n"/>
      <c r="V3" s="12" t="n"/>
      <c r="W3" s="12" t="n"/>
      <c r="X3" s="12" t="n"/>
      <c r="Y3" s="12" t="n"/>
      <c r="Z3" s="12" t="inlineStr">
        <is>
          <t>[AUDIT_v5_EXCLUDE: EC2] Dikeluarkan dari korpus MCP-spesifik oleh audit reviewer kedua v5. Pembelajaran least-privilege terminal/agen umum dengan MCP hanya alat pengganti insidental.</t>
        </is>
      </c>
      <c r="AA3" s="12">
        <f>IF(I3="","",IF(OR(I3="attack",I3="survey_review",I3="benchmark_measurement",I3="position_other",I3="not_defense"),"n/a",IF(OR(X3="spec_normatif",X3="produksi_bukti_publik"),"L3",IF(ISNUMBER(SEARCH("independent",R3)),"L2",IF(R3="author_run","L1",IF(R3="none","L0",""))))))</f>
        <v/>
      </c>
      <c r="AB3" s="12">
        <f>IF(I3="","",IF(AND(K3="deterministic_policy",M3="ya"),"PERIKSA: deterministic_policy tetapi LLM/ML ada dalam keputusan. ","")&amp;IF(AND(U3="ya",V3=""),"PERIKSA: adaptif=ya wajib ada kutipan. ","")&amp;IF(AND(R3="none",U3&lt;&gt;"n/a_tanpa_evaluasi",U3&lt;&gt;""),"PERIKSA: tanpa evaluasi, adaptif harus n/a. ","")&amp;IF(AND(OR(R3="author_run",R3="author_run+independent",R3="independent_only"),Q3=""),"PERIKSA: isi kelas_dievaluasi. ","")&amp;IF(AND(OR(R3="author_run",R3="author_run+independent",R3="independent_only"),W3=""),"PERIKSA: isi lokasi_bukti. ","")&amp;IF(AND(H3="tidak",R3&lt;&gt;""),"PERIKSA: tanpa teks lengkap, kosongkan kolom evaluasi. ",""))</f>
        <v/>
      </c>
      <c r="AC3" s="14" t="inlineStr">
        <is>
          <t>exclude</t>
        </is>
      </c>
      <c r="AD3" s="14" t="inlineStr">
        <is>
          <t>EC2</t>
        </is>
      </c>
      <c r="AE3" s="14" t="inlineStr">
        <is>
          <t>audit lanjutan; diterima koordinator</t>
        </is>
      </c>
    </row>
    <row r="4" ht="23.25" customHeight="1" s="21">
      <c r="A4" s="8" t="inlineStr">
        <is>
          <t>alfonso-2026-mcp-seclint-open-source-static</t>
        </is>
      </c>
      <c r="B4" s="8" t="inlineStr">
        <is>
          <t>MCP-SecLint: An Open-Source Static Analyzer for Detecting Vulnerabilities in LLM Tool Integrations</t>
        </is>
      </c>
      <c r="C4" s="8" t="n">
        <v>2026</v>
      </c>
      <c r="D4" s="8" t="inlineStr">
        <is>
          <t>E1</t>
        </is>
      </c>
      <c r="E4" s="8" t="inlineStr">
        <is>
          <t>kandidat_agent</t>
        </is>
      </c>
      <c r="F4" s="8" t="inlineStr">
        <is>
          <t>primary</t>
        </is>
      </c>
      <c r="G4" s="9" t="inlineStr">
        <is>
          <t>https://doi.org/10.1145/3806007.3810961</t>
        </is>
      </c>
      <c r="H4" s="10" t="inlineStr">
        <is>
          <t>ya</t>
        </is>
      </c>
      <c r="I4" s="10" t="inlineStr">
        <is>
          <t>defense_primary</t>
        </is>
      </c>
      <c r="J4" s="10" t="inlineStr">
        <is>
          <t>MCP-SecLint</t>
        </is>
      </c>
      <c r="K4" s="10" t="inlineStr">
        <is>
          <t>content_inspection_static</t>
        </is>
      </c>
      <c r="L4" s="10" t="inlineStr">
        <is>
          <t>Penganalisis statis offline kode server MCP untuk mendeteksi eksekusi perintah berbahaya, token passthrough, dan endpoint tanpa autentikasi.</t>
        </is>
      </c>
      <c r="M4" s="10" t="inlineStr">
        <is>
          <t>tidak</t>
        </is>
      </c>
      <c r="N4" s="10" t="inlineStr">
        <is>
          <t>offline_analysis</t>
        </is>
      </c>
      <c r="O4" s="10" t="inlineStr">
        <is>
          <t>R4;R5</t>
        </is>
      </c>
      <c r="P4" s="10" t="inlineStr">
        <is>
          <t>C5;C3</t>
        </is>
      </c>
      <c r="Q4" s="10" t="inlineStr">
        <is>
          <t>C5;C3</t>
        </is>
      </c>
      <c r="R4" s="10" t="inlineStr">
        <is>
          <t>author_run</t>
        </is>
      </c>
      <c r="S4" s="10" t="n"/>
      <c r="T4" s="10" t="inlineStr">
        <is>
          <t>third_party_public</t>
        </is>
      </c>
      <c r="U4" s="10" t="inlineStr">
        <is>
          <t>tidak</t>
        </is>
      </c>
      <c r="V4" s="10" t="n"/>
      <c r="W4" s="10" t="inlineStr">
        <is>
          <t>Abstract / hal. 1</t>
        </is>
      </c>
      <c r="X4" s="10" t="inlineStr">
        <is>
          <t>none</t>
        </is>
      </c>
      <c r="Y4" s="10" t="inlineStr">
        <is>
          <t>not_reported</t>
        </is>
      </c>
      <c r="Z4" s="10" t="inlineStr">
        <is>
          <t>Penganalisis statis MCP-SecLint untuk mendeteksi dangerous sinks (C5) dan unauthenticated endpoints (C3) pada implementasi server MCP. Klaim C1 dicabut karena analisis statis kode server tidak menangani confused deputy planner. Catatan deployment: prototipe internal/eksperimental (belum dirilis secara publik).</t>
        </is>
      </c>
      <c r="AA4" s="11">
        <f>IF(I4="","",IF(OR(I4="attack",I4="survey_review",I4="benchmark_measurement",I4="position_other",I4="not_defense"),"n/a",IF(OR(X4="spec_normatif",X4="produksi_bukti_publik"),"L3",IF(ISNUMBER(SEARCH("independent",R4)),"L2",IF(R4="author_run","L1",IF(R4="none","L0",""))))))</f>
        <v/>
      </c>
      <c r="AB4" s="11">
        <f>IF(I4="","",IF(AND(K4="deterministic_policy",M4="ya"),"PERIKSA: deterministic_policy tetapi LLM/ML ada dalam keputusan. ","")&amp;IF(AND(U4="ya",V4=""),"PERIKSA: adaptif=ya wajib ada kutipan. ","")&amp;IF(AND(R4="none",U4&lt;&gt;"n/a_tanpa_evaluasi",U4&lt;&gt;""),"PERIKSA: tanpa evaluasi, adaptif harus n/a. ","")&amp;IF(AND(OR(R4="author_run",R4="author_run+independent",R4="independent_only"),Q4=""),"PERIKSA: isi kelas_dievaluasi. ","")&amp;IF(AND(OR(R4="author_run",R4="author_run+independent",R4="independent_only"),W4=""),"PERIKSA: isi lokasi_bukti. ","")&amp;IF(AND(H4="tidak",R4&lt;&gt;""),"PERIKSA: tanpa teks lengkap, kosongkan kolom evaluasi. ",""))</f>
        <v/>
      </c>
      <c r="AC4" t="inlineStr">
        <is>
          <t>include</t>
        </is>
      </c>
    </row>
    <row r="5" ht="23.25" customHeight="1" s="21">
      <c r="A5" s="8" t="inlineStr">
        <is>
          <t>alfredo-2026-attested-tool-server-admission-security</t>
        </is>
      </c>
      <c r="B5" s="8" t="inlineStr">
        <is>
          <t>Attested Tool-Server Admission: A Security Extension to the Model Context Protocol</t>
        </is>
      </c>
      <c r="C5" s="8" t="n">
        <v>2026</v>
      </c>
      <c r="D5" s="8" t="inlineStr">
        <is>
          <t>E2</t>
        </is>
      </c>
      <c r="E5" s="8" t="inlineStr">
        <is>
          <t>kandidat_agent</t>
        </is>
      </c>
      <c r="F5" s="8" t="inlineStr">
        <is>
          <t>primary</t>
        </is>
      </c>
      <c r="G5" s="9" t="inlineStr">
        <is>
          <t>https://arxiv.org/abs/2605.24248</t>
        </is>
      </c>
      <c r="H5" s="10" t="inlineStr">
        <is>
          <t>ya</t>
        </is>
      </c>
      <c r="I5" s="10" t="inlineStr">
        <is>
          <t>defense_primary</t>
        </is>
      </c>
      <c r="J5" s="10" t="inlineStr">
        <is>
          <t>mcp-attested</t>
        </is>
      </c>
      <c r="K5" s="10" t="inlineStr">
        <is>
          <t>integrity_provenance</t>
        </is>
      </c>
      <c r="L5" s="10" t="inlineStr">
        <is>
          <t>Mekanisme admisi server teratestasi kriptografis Ed25519 dengan validasi clearance assertion terhadap root trust pinned dan allowlist deny-by-default.</t>
        </is>
      </c>
      <c r="M5" s="10" t="inlineStr">
        <is>
          <t>tidak</t>
        </is>
      </c>
      <c r="N5" s="10" t="inlineStr">
        <is>
          <t>registry</t>
        </is>
      </c>
      <c r="O5" s="10" t="inlineStr">
        <is>
          <t>R7</t>
        </is>
      </c>
      <c r="P5" s="10" t="inlineStr">
        <is>
          <t>B1;B2</t>
        </is>
      </c>
      <c r="Q5" s="10" t="inlineStr">
        <is>
          <t>B1;B2</t>
        </is>
      </c>
      <c r="R5" s="10" t="inlineStr">
        <is>
          <t>author_run</t>
        </is>
      </c>
      <c r="S5" s="10" t="n"/>
      <c r="T5" s="10" t="inlineStr">
        <is>
          <t>authors_own</t>
        </is>
      </c>
      <c r="U5" s="10" t="inlineStr">
        <is>
          <t>tidak</t>
        </is>
      </c>
      <c r="V5" s="10" t="n"/>
      <c r="W5" s="10" t="inlineStr">
        <is>
          <t>Sec 7.1; Sec 7.2; Tabel hal. 12</t>
        </is>
      </c>
      <c r="X5" s="10" t="inlineStr">
        <is>
          <t>none</t>
        </is>
      </c>
      <c r="Y5" s="10" t="inlineStr">
        <is>
          <t>not_reported</t>
        </is>
      </c>
      <c r="Z5" s="10" t="inlineStr">
        <is>
          <t>Mekanisme admisi server teratestasi Ed25519 mcp-attested dengan allowlist deny-by-default, diuji pada 48 kasus tes hermetik &amp; adversarial. Catatan deployment: prototipe internal/eksperimental (belum dirilis secara publik).</t>
        </is>
      </c>
      <c r="AA5" s="11">
        <f>IF(I5="","",IF(OR(I5="attack",I5="survey_review",I5="benchmark_measurement",I5="position_other",I5="not_defense"),"n/a",IF(OR(X5="spec_normatif",X5="produksi_bukti_publik"),"L3",IF(ISNUMBER(SEARCH("independent",R5)),"L2",IF(R5="author_run","L1",IF(R5="none","L0",""))))))</f>
        <v/>
      </c>
      <c r="AB5" s="11">
        <f>IF(I5="","",IF(AND(K5="deterministic_policy",M5="ya"),"PERIKSA: deterministic_policy tetapi LLM/ML ada dalam keputusan. ","")&amp;IF(AND(U5="ya",V5=""),"PERIKSA: adaptif=ya wajib ada kutipan. ","")&amp;IF(AND(R5="none",U5&lt;&gt;"n/a_tanpa_evaluasi",U5&lt;&gt;""),"PERIKSA: tanpa evaluasi, adaptif harus n/a. ","")&amp;IF(AND(OR(R5="author_run",R5="author_run+independent",R5="independent_only"),Q5=""),"PERIKSA: isi kelas_dievaluasi. ","")&amp;IF(AND(OR(R5="author_run",R5="author_run+independent",R5="independent_only"),W5=""),"PERIKSA: isi lokasi_bukti. ","")&amp;IF(AND(H5="tidak",R5&lt;&gt;""),"PERIKSA: tanpa teks lengkap, kosongkan kolom evaluasi. ",""))</f>
        <v/>
      </c>
      <c r="AC5" t="inlineStr">
        <is>
          <t>include</t>
        </is>
      </c>
    </row>
    <row r="6" ht="23.25" customHeight="1" s="21">
      <c r="A6" s="12" t="inlineStr">
        <is>
          <t>alfredo-2026-enclawed-configurable-sector-neutral-hardening</t>
        </is>
      </c>
      <c r="B6" s="12" t="inlineStr">
        <is>
          <t>enclawed: A Configurable, Sector-Neutral Hardening Framework for Single-User AI Assistant Gateways</t>
        </is>
      </c>
      <c r="C6" s="12" t="n">
        <v>2026</v>
      </c>
      <c r="D6" s="12" t="inlineStr">
        <is>
          <t>E2</t>
        </is>
      </c>
      <c r="E6" s="12" t="inlineStr">
        <is>
          <t>kandidat_agent</t>
        </is>
      </c>
      <c r="F6" s="12" t="inlineStr">
        <is>
          <t>primary</t>
        </is>
      </c>
      <c r="G6" s="13" t="inlineStr">
        <is>
          <t>https://arxiv.org/abs/2604.16838</t>
        </is>
      </c>
      <c r="H6" s="12" t="inlineStr">
        <is>
          <t>tidak</t>
        </is>
      </c>
      <c r="I6" s="12" t="inlineStr">
        <is>
          <t>not_defense</t>
        </is>
      </c>
      <c r="J6" s="12" t="n"/>
      <c r="K6" s="12" t="n"/>
      <c r="L6" s="12" t="n"/>
      <c r="M6" s="12" t="n"/>
      <c r="N6" s="12" t="n"/>
      <c r="O6" s="12" t="n"/>
      <c r="P6" s="12" t="n"/>
      <c r="Q6" s="12" t="n"/>
      <c r="R6" s="12" t="n"/>
      <c r="S6" s="12" t="n"/>
      <c r="T6" s="12" t="n"/>
      <c r="U6" s="12" t="n"/>
      <c r="V6" s="12" t="n"/>
      <c r="W6" s="12" t="n"/>
      <c r="X6" s="12" t="n"/>
      <c r="Y6" s="12" t="n"/>
      <c r="Z6" s="12" t="inlineStr">
        <is>
          <t>[AUDIT_v5_EXCLUDE: EC2] Dikeluarkan dari korpus MCP-spesifik oleh audit reviewer kedua v5. Hardening gateway asisten OpenClaw berbasis Bell-LaPadula; MCP insidental.</t>
        </is>
      </c>
      <c r="AA6" s="12">
        <f>IF(I6="","",IF(OR(I6="attack",I6="survey_review",I6="benchmark_measurement",I6="position_other",I6="not_defense"),"n/a",IF(OR(X6="spec_normatif",X6="produksi_bukti_publik"),"L3",IF(ISNUMBER(SEARCH("independent",R6)),"L2",IF(R6="author_run","L1",IF(R6="none","L0",""))))))</f>
        <v/>
      </c>
      <c r="AB6" s="12">
        <f>IF(I6="","",IF(AND(K6="deterministic_policy",M6="ya"),"PERIKSA: deterministic_policy tetapi LLM/ML ada dalam keputusan. ","")&amp;IF(AND(U6="ya",V6=""),"PERIKSA: adaptif=ya wajib ada kutipan. ","")&amp;IF(AND(R6="none",U6&lt;&gt;"n/a_tanpa_evaluasi",U6&lt;&gt;""),"PERIKSA: tanpa evaluasi, adaptif harus n/a. ","")&amp;IF(AND(OR(R6="author_run",R6="author_run+independent",R6="independent_only"),Q6=""),"PERIKSA: isi kelas_dievaluasi. ","")&amp;IF(AND(OR(R6="author_run",R6="author_run+independent",R6="independent_only"),W6=""),"PERIKSA: isi lokasi_bukti. ","")&amp;IF(AND(H6="tidak",R6&lt;&gt;""),"PERIKSA: tanpa teks lengkap, kosongkan kolom evaluasi. ",""))</f>
        <v/>
      </c>
      <c r="AC6" s="14" t="inlineStr">
        <is>
          <t>exclude</t>
        </is>
      </c>
      <c r="AD6" s="14" t="inlineStr">
        <is>
          <t>EC2</t>
        </is>
      </c>
      <c r="AE6" s="14" t="inlineStr">
        <is>
          <t>audit lanjutan; diterima koordinator</t>
        </is>
      </c>
    </row>
    <row r="7" ht="23.25" customHeight="1" s="21">
      <c r="A7" s="8" t="inlineStr">
        <is>
          <t>anthropic-2024-model-context-protocol-specification-architecture</t>
        </is>
      </c>
      <c r="B7" s="8" t="inlineStr">
        <is>
          <t>Model Context Protocol Specification (Architecture &amp; Security)</t>
        </is>
      </c>
      <c r="C7" s="8" t="n">
        <v>2024</v>
      </c>
      <c r="D7" s="8" t="inlineStr">
        <is>
          <t>E3</t>
        </is>
      </c>
      <c r="E7" s="8" t="inlineStr">
        <is>
          <t>kandidat_agent</t>
        </is>
      </c>
      <c r="F7" s="8" t="inlineStr">
        <is>
          <t>primary</t>
        </is>
      </c>
      <c r="G7" s="8" t="n"/>
      <c r="H7" s="10" t="inlineStr">
        <is>
          <t>ya</t>
        </is>
      </c>
      <c r="I7" s="10" t="inlineStr">
        <is>
          <t>position_other</t>
        </is>
      </c>
      <c r="J7" s="10" t="n"/>
      <c r="K7" s="10" t="n"/>
      <c r="L7" s="10" t="n"/>
      <c r="M7" s="10" t="n"/>
      <c r="N7" s="10" t="n"/>
      <c r="O7" s="10" t="n"/>
      <c r="P7" s="10" t="n"/>
      <c r="Q7" s="10" t="n"/>
      <c r="R7" s="10" t="n"/>
      <c r="S7" s="10" t="n"/>
      <c r="T7" s="10" t="n"/>
      <c r="U7" s="10" t="n"/>
      <c r="V7" s="10" t="n"/>
      <c r="W7" s="10" t="n"/>
      <c r="X7" s="10" t="n"/>
      <c r="Y7" s="10" t="n"/>
      <c r="Z7" s="10" t="inlineStr">
        <is>
          <t>Spesifikasi arsitektural protokol MCP resmi Anthropic (revisi 2024-11-05). Ketentuan normatif dilaporkan di Section 5 (Tabel 14-15), bukan sebagai L3 pertahanan literatur.</t>
        </is>
      </c>
      <c r="AA7" s="11">
        <f>IF(I7="","",IF(OR(I7="attack",I7="survey_review",I7="benchmark_measurement",I7="position_other",I7="not_defense"),"n/a",IF(OR(X7="spec_normatif",X7="produksi_bukti_publik"),"L3",IF(ISNUMBER(SEARCH("independent",R7)),"L2",IF(R7="author_run","L1",IF(R7="none","L0",""))))))</f>
        <v/>
      </c>
      <c r="AB7" s="11">
        <f>IF(I7="","",IF(AND(K7="deterministic_policy",M7="ya"),"PERIKSA: deterministic_policy tetapi LLM/ML ada dalam keputusan. ","")&amp;IF(AND(U7="ya",V7=""),"PERIKSA: adaptif=ya wajib ada kutipan. ","")&amp;IF(AND(R7="none",U7&lt;&gt;"n/a_tanpa_evaluasi",U7&lt;&gt;""),"PERIKSA: tanpa evaluasi, adaptif harus n/a. ","")&amp;IF(AND(OR(R7="author_run",R7="author_run+independent",R7="independent_only"),Q7=""),"PERIKSA: isi kelas_dievaluasi. ","")&amp;IF(AND(OR(R7="author_run",R7="author_run+independent",R7="independent_only"),W7=""),"PERIKSA: isi lokasi_bukti. ","")&amp;IF(AND(H7="tidak",R7&lt;&gt;""),"PERIKSA: tanpa teks lengkap, kosongkan kolom evaluasi. ",""))</f>
        <v/>
      </c>
      <c r="AC7" t="inlineStr">
        <is>
          <t>include</t>
        </is>
      </c>
    </row>
    <row r="8" ht="23.25" customHeight="1" s="21">
      <c r="A8" s="8" t="inlineStr">
        <is>
          <t>baichao-2026-flowguard-signals-evidence-mcp-security</t>
        </is>
      </c>
      <c r="B8" s="8" t="inlineStr">
        <is>
          <t>FlowGuard: From Signals to Evidence for MCP Security Detection</t>
        </is>
      </c>
      <c r="C8" s="8" t="n">
        <v>2026</v>
      </c>
      <c r="D8" s="8" t="inlineStr">
        <is>
          <t>E2</t>
        </is>
      </c>
      <c r="E8" s="8" t="inlineStr">
        <is>
          <t>kandidat_agent</t>
        </is>
      </c>
      <c r="F8" s="8" t="inlineStr">
        <is>
          <t>primary</t>
        </is>
      </c>
      <c r="G8" s="9" t="inlineStr">
        <is>
          <t>https://arxiv.org/abs/2607.14754</t>
        </is>
      </c>
      <c r="H8" s="10" t="inlineStr">
        <is>
          <t>ya</t>
        </is>
      </c>
      <c r="I8" s="10" t="inlineStr">
        <is>
          <t>defense_primary</t>
        </is>
      </c>
      <c r="J8" s="10" t="inlineStr">
        <is>
          <t>FlowGuard</t>
        </is>
      </c>
      <c r="K8" s="10" t="inlineStr">
        <is>
          <t>content_inspection_runtime</t>
        </is>
      </c>
      <c r="L8" s="10" t="inlineStr">
        <is>
          <t>Sistem pemindai keamanan MCP aktif berbasis probing bertahap (recon &amp; strike) yang memverifikasi bukti runtime pada pemanggilan tool dan menganalisis risiko semantik metadata menggunakan LLM bounded.</t>
        </is>
      </c>
      <c r="M8" s="10" t="inlineStr">
        <is>
          <t>ya</t>
        </is>
      </c>
      <c r="N8" s="10" t="inlineStr">
        <is>
          <t>H</t>
        </is>
      </c>
      <c r="O8" s="10" t="inlineStr">
        <is>
          <t>R2;R4;R5</t>
        </is>
      </c>
      <c r="P8" s="10" t="inlineStr">
        <is>
          <t>A1;A2;C3;C5</t>
        </is>
      </c>
      <c r="Q8" s="10" t="inlineStr">
        <is>
          <t>A1;A2;C3;C5</t>
        </is>
      </c>
      <c r="R8" s="10" t="inlineStr">
        <is>
          <t>author_run</t>
        </is>
      </c>
      <c r="S8" s="10" t="n"/>
      <c r="T8" s="10" t="inlineStr">
        <is>
          <t>authors_own</t>
        </is>
      </c>
      <c r="U8" s="10" t="inlineStr">
        <is>
          <t>tidak</t>
        </is>
      </c>
      <c r="V8" s="10" t="n"/>
      <c r="W8" s="10" t="inlineStr">
        <is>
          <t>Sec V; Table II; Table IV; hal. 7-10</t>
        </is>
      </c>
      <c r="X8" s="10" t="inlineStr">
        <is>
          <t>none</t>
        </is>
      </c>
      <c r="Y8" s="10" t="inlineStr">
        <is>
          <t>latensi dilaporkan (reduksi 2.23x, Tabel IV)</t>
        </is>
      </c>
      <c r="Z8" s="10" t="inlineStr">
        <is>
          <t>Pemindai keamanan MCP dua fase (reconnaissance &amp; targeted strike) dengan adjudikasi bukti berbasis Qwen3-235B. Diuji pada 1.880 kasus benchmark buatan penulis dan 8.000 server MCPZoo; ancaman adaptif eksplisit di luar cakupan. Catatan deployment: prototipe internal/eksperimental (belum dirilis secara publik).</t>
        </is>
      </c>
      <c r="AA8" s="11">
        <f>IF(I8="","",IF(OR(I8="attack",I8="survey_review",I8="benchmark_measurement",I8="position_other",I8="not_defense"),"n/a",IF(OR(X8="spec_normatif",X8="produksi_bukti_publik"),"L3",IF(ISNUMBER(SEARCH("independent",R8)),"L2",IF(R8="author_run","L1",IF(R8="none","L0",""))))))</f>
        <v/>
      </c>
      <c r="AB8" s="11">
        <f>IF(I8="","",IF(AND(K8="deterministic_policy",M8="ya"),"PERIKSA: deterministic_policy tetapi LLM/ML ada dalam keputusan. ","")&amp;IF(AND(U8="ya",V8=""),"PERIKSA: adaptif=ya wajib ada kutipan. ","")&amp;IF(AND(R8="none",U8&lt;&gt;"n/a_tanpa_evaluasi",U8&lt;&gt;""),"PERIKSA: tanpa evaluasi, adaptif harus n/a. ","")&amp;IF(AND(OR(R8="author_run",R8="author_run+independent",R8="independent_only"),Q8=""),"PERIKSA: isi kelas_dievaluasi. ","")&amp;IF(AND(OR(R8="author_run",R8="author_run+independent",R8="independent_only"),W8=""),"PERIKSA: isi lokasi_bukti. ","")&amp;IF(AND(H8="tidak",R8&lt;&gt;""),"PERIKSA: tanpa teks lengkap, kosongkan kolom evaluasi. ",""))</f>
        <v/>
      </c>
      <c r="AC8" t="inlineStr">
        <is>
          <t>include</t>
        </is>
      </c>
    </row>
    <row r="9" ht="23.25" customHeight="1" s="21">
      <c r="A9" s="8" t="inlineStr">
        <is>
          <t>bin-2025-mcpguard-automatically-detecting-vulnerabilities-mcp</t>
        </is>
      </c>
      <c r="B9" s="8" t="inlineStr">
        <is>
          <t>MCPGuard : Automatically Detecting Vulnerabilities in MCP Servers</t>
        </is>
      </c>
      <c r="C9" s="8" t="n">
        <v>2025</v>
      </c>
      <c r="D9" s="8" t="inlineStr">
        <is>
          <t>E2</t>
        </is>
      </c>
      <c r="E9" s="8" t="inlineStr">
        <is>
          <t>kandidat_agent</t>
        </is>
      </c>
      <c r="F9" s="8" t="inlineStr">
        <is>
          <t>primary</t>
        </is>
      </c>
      <c r="G9" s="9" t="inlineStr">
        <is>
          <t>https://arxiv.org/abs/2510.23673</t>
        </is>
      </c>
      <c r="H9" s="10" t="inlineStr">
        <is>
          <t>ya</t>
        </is>
      </c>
      <c r="I9" s="10" t="inlineStr">
        <is>
          <t>survey_review</t>
        </is>
      </c>
      <c r="J9" s="10" t="n"/>
      <c r="K9" s="10" t="n"/>
      <c r="L9" s="10" t="n"/>
      <c r="M9" s="10" t="n"/>
      <c r="N9" s="10" t="n"/>
      <c r="O9" s="10" t="n"/>
      <c r="P9" s="10" t="n"/>
      <c r="Q9" s="10" t="n"/>
      <c r="R9" s="10" t="n"/>
      <c r="S9" s="10" t="n"/>
      <c r="T9" s="10" t="n"/>
      <c r="U9" s="10" t="n"/>
      <c r="V9" s="10" t="n"/>
      <c r="W9" s="10" t="n"/>
      <c r="X9" s="10" t="n"/>
      <c r="Y9" s="10" t="n"/>
      <c r="Z9" s="10" t="inlineStr">
        <is>
          <t>Makalah survei/lanskap keamanan MCP dan tinjauan taksonomis komprehensif atas pertahanan yang ada (server-side scanning &amp; runtime monitoring) tanpa evaluasi atau implementasi mekanisme baru oleh penulis. KODER 1 keliru menganggap judul 'MCPGuard' sebagai defense_primary.</t>
        </is>
      </c>
      <c r="AA9" s="11">
        <f>IF(I9="","",IF(OR(I9="attack",I9="survey_review",I9="benchmark_measurement",I9="position_other",I9="not_defense"),"n/a",IF(OR(X9="spec_normatif",X9="produksi_bukti_publik"),"L3",IF(ISNUMBER(SEARCH("independent",R9)),"L2",IF(R9="author_run","L1",IF(R9="none","L0",""))))))</f>
        <v/>
      </c>
      <c r="AB9" s="11">
        <f>IF(I9="","",IF(AND(K9="deterministic_policy",M9="ya"),"PERIKSA: deterministic_policy tetapi LLM/ML ada dalam keputusan. ","")&amp;IF(AND(U9="ya",V9=""),"PERIKSA: adaptif=ya wajib ada kutipan. ","")&amp;IF(AND(R9="none",U9&lt;&gt;"n/a_tanpa_evaluasi",U9&lt;&gt;""),"PERIKSA: tanpa evaluasi, adaptif harus n/a. ","")&amp;IF(AND(OR(R9="author_run",R9="author_run+independent",R9="independent_only"),Q9=""),"PERIKSA: isi kelas_dievaluasi. ","")&amp;IF(AND(OR(R9="author_run",R9="author_run+independent",R9="independent_only"),W9=""),"PERIKSA: isi lokasi_bukti. ","")&amp;IF(AND(H9="tidak",R9&lt;&gt;""),"PERIKSA: tanpa teks lengkap, kosongkan kolom evaluasi. ",""))</f>
        <v/>
      </c>
      <c r="AC9" t="inlineStr">
        <is>
          <t>include</t>
        </is>
      </c>
    </row>
    <row r="10" ht="23.25" customHeight="1" s="21">
      <c r="A10" s="8" t="inlineStr">
        <is>
          <t>chenkai-2026-when-agentic-executions-fail-detecting</t>
        </is>
      </c>
      <c r="B10" s="8" t="inlineStr">
        <is>
          <t>When Agentic Executions Fail: Detecting and Localizing Runtime Faults from Telemetry</t>
        </is>
      </c>
      <c r="C10" s="8" t="n">
        <v>2026</v>
      </c>
      <c r="D10" s="8" t="inlineStr">
        <is>
          <t>E2</t>
        </is>
      </c>
      <c r="E10" s="8" t="inlineStr">
        <is>
          <t>kandidat_agent</t>
        </is>
      </c>
      <c r="F10" s="8" t="inlineStr">
        <is>
          <t>primary</t>
        </is>
      </c>
      <c r="G10" s="9" t="inlineStr">
        <is>
          <t>https://arxiv.org/abs/2608.14680</t>
        </is>
      </c>
      <c r="H10" s="10" t="inlineStr">
        <is>
          <t>ya</t>
        </is>
      </c>
      <c r="I10" s="10" t="inlineStr">
        <is>
          <t>benchmark_measurement</t>
        </is>
      </c>
      <c r="J10" s="10" t="n"/>
      <c r="K10" s="10" t="n"/>
      <c r="L10" s="10" t="n"/>
      <c r="M10" s="10" t="n"/>
      <c r="N10" s="10" t="n"/>
      <c r="O10" s="10" t="n"/>
      <c r="P10" s="10" t="n"/>
      <c r="Q10" s="10" t="n"/>
      <c r="R10" s="10" t="n"/>
      <c r="S10" s="10" t="n"/>
      <c r="T10" s="10" t="n"/>
      <c r="U10" s="10" t="n"/>
      <c r="V10" s="10" t="n"/>
      <c r="W10" s="10" t="n"/>
      <c r="X10" s="10" t="n"/>
      <c r="Y10" s="10" t="n"/>
      <c r="Z10" s="10" t="inlineStr">
        <is>
          <t>Makalah kontribusi utamanya adalah benchmark injeksi kesalahan runtime (AgentChaosBench) berisi 275 jejak telemetri Langfuse pada 5 aplikasi multi-agen (MCP &amp; A2A) dengan evaluasi baseline LLM diagnostik (zero-shot LLM baselines); tidak mengusulkan mekanisme pertahanan baru. KODER 1 keliru menetapkannya sebagai defense_primary.</t>
        </is>
      </c>
      <c r="AA10" s="11">
        <f>IF(I10="","",IF(OR(I10="attack",I10="survey_review",I10="benchmark_measurement",I10="position_other",I10="not_defense"),"n/a",IF(OR(X10="spec_normatif",X10="produksi_bukti_publik"),"L3",IF(ISNUMBER(SEARCH("independent",R10)),"L2",IF(R10="author_run","L1",IF(R10="none","L0",""))))))</f>
        <v/>
      </c>
      <c r="AB10" s="11">
        <f>IF(I10="","",IF(AND(K10="deterministic_policy",M10="ya"),"PERIKSA: deterministic_policy tetapi LLM/ML ada dalam keputusan. ","")&amp;IF(AND(U10="ya",V10=""),"PERIKSA: adaptif=ya wajib ada kutipan. ","")&amp;IF(AND(R10="none",U10&lt;&gt;"n/a_tanpa_evaluasi",U10&lt;&gt;""),"PERIKSA: tanpa evaluasi, adaptif harus n/a. ","")&amp;IF(AND(OR(R10="author_run",R10="author_run+independent",R10="independent_only"),Q10=""),"PERIKSA: isi kelas_dievaluasi. ","")&amp;IF(AND(OR(R10="author_run",R10="author_run+independent",R10="independent_only"),W10=""),"PERIKSA: isi lokasi_bukti. ","")&amp;IF(AND(H10="tidak",R10&lt;&gt;""),"PERIKSA: tanpa teks lengkap, kosongkan kolom evaluasi. ",""))</f>
        <v/>
      </c>
      <c r="AC10" t="inlineStr">
        <is>
          <t>include</t>
        </is>
      </c>
    </row>
    <row r="11" ht="23.25" customHeight="1" s="21">
      <c r="A11" s="8" t="inlineStr">
        <is>
          <t>chenning-2026-adr-agentic-detection-system-enterprise</t>
        </is>
      </c>
      <c r="B11" s="8" t="inlineStr">
        <is>
          <t>ADR: An Agentic Detection System for Enterprise Agentic AI Security</t>
        </is>
      </c>
      <c r="C11" s="8" t="n">
        <v>2026</v>
      </c>
      <c r="D11" s="8" t="inlineStr">
        <is>
          <t>E2</t>
        </is>
      </c>
      <c r="E11" s="8" t="inlineStr">
        <is>
          <t>kandidat_agent</t>
        </is>
      </c>
      <c r="F11" s="8" t="inlineStr">
        <is>
          <t>primary</t>
        </is>
      </c>
      <c r="G11" s="9" t="inlineStr">
        <is>
          <t>https://arxiv.org/abs/2605.17380</t>
        </is>
      </c>
      <c r="H11" s="10" t="inlineStr">
        <is>
          <t>ya</t>
        </is>
      </c>
      <c r="I11" s="10" t="inlineStr">
        <is>
          <t>defense_primary</t>
        </is>
      </c>
      <c r="J11" s="10" t="inlineStr">
        <is>
          <t>ADR</t>
        </is>
      </c>
      <c r="K11" s="10" t="inlineStr">
        <is>
          <t>content_inspection_runtime</t>
        </is>
      </c>
      <c r="L11" s="10" t="inlineStr">
        <is>
          <t>Sistem deteksi ancaman agen enterprise dua tingkat (triage cepat berbasis heuristik/klasifikator dan penalaran mendalam berbasis LLM) yang menginspeksi telemetri runtime, jejak penalaran, dan pemanggilan tool MCP.</t>
        </is>
      </c>
      <c r="M11" s="10" t="inlineStr">
        <is>
          <t>ya</t>
        </is>
      </c>
      <c r="N11" s="10" t="inlineStr">
        <is>
          <t>H</t>
        </is>
      </c>
      <c r="O11" s="10" t="inlineStr">
        <is>
          <t>R2;R3;R5;R6;R7</t>
        </is>
      </c>
      <c r="P11" s="10" t="inlineStr">
        <is>
          <t>A1;A2;A3;B1;B2;C1;C2;C5;D1;D2;D3;OUT_OF_TAXONOMY:resource_abuse</t>
        </is>
      </c>
      <c r="Q11" s="10" t="inlineStr">
        <is>
          <t>A1;A2;C1;C5;D1;D2;D3;OUT_OF_TAXONOMY:resource_abuse</t>
        </is>
      </c>
      <c r="R11" s="10" t="inlineStr">
        <is>
          <t>author_run</t>
        </is>
      </c>
      <c r="S11" s="10" t="n"/>
      <c r="T11" s="10" t="inlineStr">
        <is>
          <t>mixed</t>
        </is>
      </c>
      <c r="U11" s="10" t="inlineStr">
        <is>
          <t>tidak</t>
        </is>
      </c>
      <c r="V11" s="10" t="n"/>
      <c r="W11" s="10" t="inlineStr">
        <is>
          <t>Sec. 4-5, Tabel 2, Gbr 6a, hal. 8-10</t>
        </is>
      </c>
      <c r="X11" s="10" t="inlineStr">
        <is>
          <t>none</t>
        </is>
      </c>
      <c r="Y11" s="10" t="inlineStr">
        <is>
          <t>biaya ($0.024/task) &amp; latensi (18.5s) dilaporkan (Sec 5.2, Fig 6b)</t>
        </is>
      </c>
      <c r="Z11" s="10" t="inlineStr">
        <is>
          <t>ADR dievaluasi pada ADR-Bench (17 teknik, 5 taktik) &amp; AgentDojo mencakup 8 kelas (termasuk C5 Code Interpreter &amp; Operational Impact: Resource Exhaustion/DoS dipetakan ke OUT_OF_TAXONOMY:resource_abuse). Kode repositori publik modelcon. Catatan deployment: prototipe internal/eksperimental (belum dirilis secara publik).</t>
        </is>
      </c>
      <c r="AA11" s="11">
        <f>IF(I11="","",IF(OR(I11="attack",I11="survey_review",I11="benchmark_measurement",I11="position_other",I11="not_defense"),"n/a",IF(OR(X11="spec_normatif",X11="produksi_bukti_publik"),"L3",IF(ISNUMBER(SEARCH("independent",R11)),"L2",IF(R11="author_run","L1",IF(R11="none","L0",""))))))</f>
        <v/>
      </c>
      <c r="AB11" s="11">
        <f>IF(I11="","",IF(AND(K11="deterministic_policy",M11="ya"),"PERIKSA: deterministic_policy tetapi LLM/ML ada dalam keputusan. ","")&amp;IF(AND(U11="ya",V11=""),"PERIKSA: adaptif=ya wajib ada kutipan. ","")&amp;IF(AND(R11="none",U11&lt;&gt;"n/a_tanpa_evaluasi",U11&lt;&gt;""),"PERIKSA: tanpa evaluasi, adaptif harus n/a. ","")&amp;IF(AND(OR(R11="author_run",R11="author_run+independent",R11="independent_only"),Q11=""),"PERIKSA: isi kelas_dievaluasi. ","")&amp;IF(AND(OR(R11="author_run",R11="author_run+independent",R11="independent_only"),W11=""),"PERIKSA: isi lokasi_bukti. ","")&amp;IF(AND(H11="tidak",R11&lt;&gt;""),"PERIKSA: tanpa teks lengkap, kosongkan kolom evaluasi. ",""))</f>
        <v/>
      </c>
      <c r="AC11" t="inlineStr">
        <is>
          <t>include</t>
        </is>
      </c>
    </row>
    <row r="12" ht="23.25" customHeight="1" s="21">
      <c r="A12" s="8" t="inlineStr">
        <is>
          <t>christoph-2025-agentbound-securing-execution-boundaries-ai</t>
        </is>
      </c>
      <c r="B12" s="8" t="inlineStr">
        <is>
          <t>AgentBound: Securing Execution Boundaries of AI Agents</t>
        </is>
      </c>
      <c r="C12" s="8" t="n">
        <v>2025</v>
      </c>
      <c r="D12" s="8" t="inlineStr">
        <is>
          <t>E1</t>
        </is>
      </c>
      <c r="E12" s="8" t="inlineStr">
        <is>
          <t>kandidat_agent</t>
        </is>
      </c>
      <c r="F12" s="8" t="inlineStr">
        <is>
          <t>primary</t>
        </is>
      </c>
      <c r="G12" s="9" t="inlineStr">
        <is>
          <t>https://arxiv.org/abs/2510.21236</t>
        </is>
      </c>
      <c r="H12" s="10" t="inlineStr">
        <is>
          <t>ya</t>
        </is>
      </c>
      <c r="I12" s="10" t="inlineStr">
        <is>
          <t>defense_primary</t>
        </is>
      </c>
      <c r="J12" s="10" t="inlineStr">
        <is>
          <t>AgentBound</t>
        </is>
      </c>
      <c r="K12" s="10" t="inlineStr">
        <is>
          <t>isolation_containment</t>
        </is>
      </c>
      <c r="L12" s="10" t="inlineStr">
        <is>
          <t>Kerangka pengamanan eksekusi server MCP berbasis deklarasi kapabilitas (AgentManifest) dan sandbox kontainer (AgentBox) yang mengisolasi akses berkas, jaringan, dan lingkungan secara deterministik.</t>
        </is>
      </c>
      <c r="M12" s="10" t="inlineStr">
        <is>
          <t>tidak</t>
        </is>
      </c>
      <c r="N12" s="10" t="inlineStr">
        <is>
          <t>H</t>
        </is>
      </c>
      <c r="O12" s="10" t="inlineStr">
        <is>
          <t>R5;R6</t>
        </is>
      </c>
      <c r="P12" s="10" t="inlineStr">
        <is>
          <t>B1;C5;D1</t>
        </is>
      </c>
      <c r="Q12" s="10" t="inlineStr">
        <is>
          <t>C5;D1</t>
        </is>
      </c>
      <c r="R12" s="10" t="inlineStr">
        <is>
          <t>author_run</t>
        </is>
      </c>
      <c r="S12" s="10" t="n"/>
      <c r="T12" s="10" t="inlineStr">
        <is>
          <t>mixed</t>
        </is>
      </c>
      <c r="U12" s="10" t="inlineStr">
        <is>
          <t>tidak</t>
        </is>
      </c>
      <c r="V12" s="10" t="n"/>
      <c r="W12" s="10" t="inlineStr">
        <is>
          <t>Sec 4; Sec 4.2; Sec 4.3; Table 2; hal. 11-16</t>
        </is>
      </c>
      <c r="X12" s="10" t="inlineStr">
        <is>
          <t>none</t>
        </is>
      </c>
      <c r="Y12" s="10" t="inlineStr">
        <is>
          <t>latensi dan overhead kontainer dilaporkan (Sec 4.3)</t>
        </is>
      </c>
      <c r="Z12" s="10" t="inlineStr">
        <is>
          <t>Eksekusi server di dalam kontainer AgentBox (Docker) menegakkan batas isolasi proses dan pembatasan kapabilitas manifest; mengevaluasi rug pull (B1), scope server (C5), dan eksfiltrasi data (D1). C1 dicabut karena isolasi proses bukan mediasi otorisasi sesi planner. Catatan deployment: prototipe internal/eksperimental (belum dirilis secara publik).</t>
        </is>
      </c>
      <c r="AA12" s="11">
        <f>IF(I12="","",IF(OR(I12="attack",I12="survey_review",I12="benchmark_measurement",I12="position_other",I12="not_defense"),"n/a",IF(OR(X12="spec_normatif",X12="produksi_bukti_publik"),"L3",IF(ISNUMBER(SEARCH("independent",R12)),"L2",IF(R12="author_run","L1",IF(R12="none","L0",""))))))</f>
        <v/>
      </c>
      <c r="AB12" s="11">
        <f>IF(I12="","",IF(AND(K12="deterministic_policy",M12="ya"),"PERIKSA: deterministic_policy tetapi LLM/ML ada dalam keputusan. ","")&amp;IF(AND(U12="ya",V12=""),"PERIKSA: adaptif=ya wajib ada kutipan. ","")&amp;IF(AND(R12="none",U12&lt;&gt;"n/a_tanpa_evaluasi",U12&lt;&gt;""),"PERIKSA: tanpa evaluasi, adaptif harus n/a. ","")&amp;IF(AND(OR(R12="author_run",R12="author_run+independent",R12="independent_only"),Q12=""),"PERIKSA: isi kelas_dievaluasi. ","")&amp;IF(AND(OR(R12="author_run",R12="author_run+independent",R12="independent_only"),W12=""),"PERIKSA: isi lokasi_bukti. ","")&amp;IF(AND(H12="tidak",R12&lt;&gt;""),"PERIKSA: tanpa teks lengkap, kosongkan kolom evaluasi. ",""))</f>
        <v/>
      </c>
      <c r="AC12" t="inlineStr">
        <is>
          <t>include</t>
        </is>
      </c>
    </row>
    <row r="13" ht="34.5" customHeight="1" s="21">
      <c r="A13" s="8" t="inlineStr">
        <is>
          <t>dongxu-2026-device-context-protocol-compact-safety</t>
        </is>
      </c>
      <c r="B13" s="8" t="inlineStr">
        <is>
          <t>Device Context Protocol: A Compact, Safety-First Architecture for LLM-Driven Control of Constrained Devices</t>
        </is>
      </c>
      <c r="C13" s="8" t="n">
        <v>2026</v>
      </c>
      <c r="D13" s="8" t="inlineStr">
        <is>
          <t>E2</t>
        </is>
      </c>
      <c r="E13" s="8" t="inlineStr">
        <is>
          <t>kandidat_agent</t>
        </is>
      </c>
      <c r="F13" s="8" t="inlineStr">
        <is>
          <t>primary</t>
        </is>
      </c>
      <c r="G13" s="9" t="inlineStr">
        <is>
          <t>https://arxiv.org/abs/2605.26159</t>
        </is>
      </c>
      <c r="H13" s="10" t="inlineStr">
        <is>
          <t>ya</t>
        </is>
      </c>
      <c r="I13" s="10" t="inlineStr">
        <is>
          <t>defense_primary</t>
        </is>
      </c>
      <c r="J13" s="10" t="inlineStr">
        <is>
          <t>Device Context Protocol</t>
        </is>
      </c>
      <c r="K13" s="10" t="inlineStr">
        <is>
          <t>protocol_provision</t>
        </is>
      </c>
      <c r="L13" s="10" t="inlineStr">
        <is>
          <t>Protokol biner kompak (DCP) dengan host-side Bridge yang memvalidasi skema kapabilitas wajib per-intent, batasan rentang, serta dry-run sebelum instruksi LLM mencapai perangkat fisik.</t>
        </is>
      </c>
      <c r="M13" s="10" t="inlineStr">
        <is>
          <t>tidak</t>
        </is>
      </c>
      <c r="N13" s="10" t="inlineStr">
        <is>
          <t>gateway_proxy</t>
        </is>
      </c>
      <c r="O13" s="10" t="inlineStr">
        <is>
          <t>R2;R5</t>
        </is>
      </c>
      <c r="P13" s="10" t="inlineStr">
        <is>
          <t>A2;C5</t>
        </is>
      </c>
      <c r="Q13" s="10" t="inlineStr">
        <is>
          <t>A2;C5</t>
        </is>
      </c>
      <c r="R13" s="10" t="inlineStr">
        <is>
          <t>author_run</t>
        </is>
      </c>
      <c r="S13" s="10" t="n"/>
      <c r="T13" s="10" t="inlineStr">
        <is>
          <t>mixed</t>
        </is>
      </c>
      <c r="U13" s="10" t="inlineStr">
        <is>
          <t>tidak</t>
        </is>
      </c>
      <c r="V13" s="10" t="n"/>
      <c r="W13" s="10" t="inlineStr">
        <is>
          <t>Sec 4; Sec 5; Fig 3; hal. 8-10</t>
        </is>
      </c>
      <c r="X13" s="10" t="inlineStr">
        <is>
          <t>none</t>
        </is>
      </c>
      <c r="Y13" s="10" t="inlineStr">
        <is>
          <t>footprint firmware (27.6 KB flash, 0.6 KB RAM) &amp; latensi dilaporkan</t>
        </is>
      </c>
      <c r="Z13" s="10" t="inlineStr">
        <is>
          <t>Protokol keamanan berorientasi perangkat terbatas (DCP) dengan host Bridge penegak kapabilitas deterministik. Diuji pada 675 panggilan dari 5 LLM komersial terhadap 6 kategori serangan termasuk injeksi AgentDojo. Catatan deployment: prototipe internal/eksperimental (belum dirilis secara publik).</t>
        </is>
      </c>
      <c r="AA13" s="11">
        <f>IF(I13="","",IF(OR(I13="attack",I13="survey_review",I13="benchmark_measurement",I13="position_other",I13="not_defense"),"n/a",IF(OR(X13="spec_normatif",X13="produksi_bukti_publik"),"L3",IF(ISNUMBER(SEARCH("independent",R13)),"L2",IF(R13="author_run","L1",IF(R13="none","L0",""))))))</f>
        <v/>
      </c>
      <c r="AB13" s="11">
        <f>IF(I13="","",IF(AND(K13="deterministic_policy",M13="ya"),"PERIKSA: deterministic_policy tetapi LLM/ML ada dalam keputusan. ","")&amp;IF(AND(U13="ya",V13=""),"PERIKSA: adaptif=ya wajib ada kutipan. ","")&amp;IF(AND(R13="none",U13&lt;&gt;"n/a_tanpa_evaluasi",U13&lt;&gt;""),"PERIKSA: tanpa evaluasi, adaptif harus n/a. ","")&amp;IF(AND(OR(R13="author_run",R13="author_run+independent",R13="independent_only"),Q13=""),"PERIKSA: isi kelas_dievaluasi. ","")&amp;IF(AND(OR(R13="author_run",R13="author_run+independent",R13="independent_only"),W13=""),"PERIKSA: isi lokasi_bukti. ","")&amp;IF(AND(H13="tidak",R13&lt;&gt;""),"PERIKSA: tanpa teks lengkap, kosongkan kolom evaluasi. ",""))</f>
        <v/>
      </c>
      <c r="AC13" t="inlineStr">
        <is>
          <t>include</t>
        </is>
      </c>
    </row>
    <row r="14" ht="23.25" customHeight="1" s="21">
      <c r="A14" s="8" t="inlineStr">
        <is>
          <t>fatemeh-2026-federated-mcp-gateway-enforceable-isolation</t>
        </is>
      </c>
      <c r="B14" s="8" t="inlineStr">
        <is>
          <t>A Federated MCP Gateway: Enforceable Isolation and Measuring Residual Semantic Attacks</t>
        </is>
      </c>
      <c r="C14" s="8" t="n">
        <v>2026</v>
      </c>
      <c r="D14" s="8" t="inlineStr">
        <is>
          <t>E1</t>
        </is>
      </c>
      <c r="E14" s="8" t="inlineStr">
        <is>
          <t>kandidat_agent</t>
        </is>
      </c>
      <c r="F14" s="8" t="inlineStr">
        <is>
          <t>primary</t>
        </is>
      </c>
      <c r="G14" s="9" t="inlineStr">
        <is>
          <t>https://doi.org/10.1109/noms69089.2026.11668221</t>
        </is>
      </c>
      <c r="H14" s="10" t="inlineStr">
        <is>
          <t>ya</t>
        </is>
      </c>
      <c r="I14" s="10" t="inlineStr">
        <is>
          <t>defense_primary</t>
        </is>
      </c>
      <c r="J14" s="10" t="inlineStr">
        <is>
          <t>Federated MCP Gateway</t>
        </is>
      </c>
      <c r="K14" s="10" t="inlineStr">
        <is>
          <t>isolation_containment</t>
        </is>
      </c>
      <c r="L14" s="10" t="inlineStr">
        <is>
          <t>Gateway federasi MCP terpusat dengan kontrol isolasi tenant berbasis JWT, verifikasi skema, dan filter regex/firewall output terhadap serangan semantik residu.</t>
        </is>
      </c>
      <c r="M14" s="10" t="inlineStr">
        <is>
          <t>tidak</t>
        </is>
      </c>
      <c r="N14" s="10" t="inlineStr">
        <is>
          <t>gateway_proxy</t>
        </is>
      </c>
      <c r="O14" s="10" t="inlineStr">
        <is>
          <t>R1;R2;R3;R5</t>
        </is>
      </c>
      <c r="P14" s="10" t="inlineStr">
        <is>
          <t>A2;D1;D2;OUT_OF_TAXONOMY:resource_abuse</t>
        </is>
      </c>
      <c r="Q14" s="10" t="inlineStr">
        <is>
          <t>A2;D1;D2;OUT_OF_TAXONOMY:resource_abuse</t>
        </is>
      </c>
      <c r="R14" s="10" t="inlineStr">
        <is>
          <t>author_run</t>
        </is>
      </c>
      <c r="S14" s="10" t="n"/>
      <c r="T14" s="10" t="inlineStr">
        <is>
          <t>authors_own</t>
        </is>
      </c>
      <c r="U14" s="10" t="inlineStr">
        <is>
          <t>tidak</t>
        </is>
      </c>
      <c r="V14" s="10" t="n"/>
      <c r="W14" s="10" t="inlineStr">
        <is>
          <t>Sec. IV, Tabel III, hal. 4-6</t>
        </is>
      </c>
      <c r="X14" s="10" t="inlineStr">
        <is>
          <t>none</t>
        </is>
      </c>
      <c r="Y14" s="10" t="inlineStr">
        <is>
          <t>dilaporkan: tingkat blokir dan mismatch per modul penegakan (Tabel III)</t>
        </is>
      </c>
      <c r="Z14" s="10" t="inlineStr">
        <is>
          <t>Federated MCP Gateway (defense_primary, L1). Isolasi tenant/identitas (D1;D2), pemfilteran regex (A2), dan kontrol amplifikasi sumber daya 100 req/menit (OUT_OF_TAXONOMY:resource_abuse). Suite 93 kasus sintetik; adaptif=tidak.</t>
        </is>
      </c>
      <c r="AA14" s="11">
        <f>IF(I14="","",IF(OR(I14="attack",I14="survey_review",I14="benchmark_measurement",I14="position_other",I14="not_defense"),"n/a",IF(OR(X14="spec_normatif",X14="produksi_bukti_publik"),"L3",IF(ISNUMBER(SEARCH("independent",R14)),"L2",IF(R14="author_run","L1",IF(R14="none","L0",""))))))</f>
        <v/>
      </c>
      <c r="AB14" s="11">
        <f>IF(I14="","",IF(AND(K14="deterministic_policy",M14="ya"),"PERIKSA: deterministic_policy tetapi LLM/ML ada dalam keputusan. ","")&amp;IF(AND(U14="ya",V14=""),"PERIKSA: adaptif=ya wajib ada kutipan. ","")&amp;IF(AND(R14="none",U14&lt;&gt;"n/a_tanpa_evaluasi",U14&lt;&gt;""),"PERIKSA: tanpa evaluasi, adaptif harus n/a. ","")&amp;IF(AND(OR(R14="author_run",R14="author_run+independent",R14="independent_only"),Q14=""),"PERIKSA: isi kelas_dievaluasi. ","")&amp;IF(AND(OR(R14="author_run",R14="author_run+independent",R14="independent_only"),W14=""),"PERIKSA: isi lokasi_bukti. ","")&amp;IF(AND(H14="tidak",R14&lt;&gt;""),"PERIKSA: tanpa teks lengkap, kosongkan kolom evaluasi. ",""))</f>
        <v/>
      </c>
      <c r="AC14" t="inlineStr">
        <is>
          <t>include</t>
        </is>
      </c>
    </row>
    <row r="15" ht="23.25" customHeight="1" s="21">
      <c r="A15" s="8" t="inlineStr">
        <is>
          <t>gamini-2026-mcp-secure-runtime-access-control</t>
        </is>
      </c>
      <c r="B15" s="8" t="inlineStr">
        <is>
          <t>MCP-Secure: A Runtime Access Control Layer for Privilege-Aware LLM Agent Tooling</t>
        </is>
      </c>
      <c r="C15" s="8" t="n">
        <v>2026</v>
      </c>
      <c r="D15" s="8" t="inlineStr">
        <is>
          <t>E1</t>
        </is>
      </c>
      <c r="E15" s="8" t="inlineStr">
        <is>
          <t>kandidat_agent</t>
        </is>
      </c>
      <c r="F15" s="8" t="inlineStr">
        <is>
          <t>primary</t>
        </is>
      </c>
      <c r="G15" s="9" t="inlineStr">
        <is>
          <t>https://doi.org/10.1109/ojcs.2026.3664314</t>
        </is>
      </c>
      <c r="H15" s="10" t="inlineStr">
        <is>
          <t>ya</t>
        </is>
      </c>
      <c r="I15" s="10" t="inlineStr">
        <is>
          <t>defense_primary</t>
        </is>
      </c>
      <c r="J15" s="10" t="inlineStr">
        <is>
          <t>MCP-Secure</t>
        </is>
      </c>
      <c r="K15" s="10" t="inlineStr">
        <is>
          <t>deterministic_policy</t>
        </is>
      </c>
      <c r="L15" s="10" t="inlineStr">
        <is>
          <t>Lapisan kontrol akses runtime host-side berbasis state machine level-sesi dengan izin default read-only dan approval gating untuk eskalasi hak istimewa pemanggilan tool.</t>
        </is>
      </c>
      <c r="M15" s="10" t="inlineStr">
        <is>
          <t>tidak</t>
        </is>
      </c>
      <c r="N15" s="10" t="inlineStr">
        <is>
          <t>H</t>
        </is>
      </c>
      <c r="O15" s="10" t="inlineStr">
        <is>
          <t>R3;R5</t>
        </is>
      </c>
      <c r="P15" s="10" t="inlineStr">
        <is>
          <t>C1;C5</t>
        </is>
      </c>
      <c r="Q15" s="10" t="inlineStr">
        <is>
          <t>C1;C5</t>
        </is>
      </c>
      <c r="R15" s="10" t="inlineStr">
        <is>
          <t>author_run</t>
        </is>
      </c>
      <c r="S15" s="10" t="n"/>
      <c r="T15" s="10" t="inlineStr">
        <is>
          <t>authors_own</t>
        </is>
      </c>
      <c r="U15" s="10" t="inlineStr">
        <is>
          <t>tidak</t>
        </is>
      </c>
      <c r="V15" s="10" t="n"/>
      <c r="W15" s="10" t="inlineStr">
        <is>
          <t>Sec. IV-V; hal. 508-512</t>
        </is>
      </c>
      <c r="X15" s="10" t="inlineStr">
        <is>
          <t>none</t>
        </is>
      </c>
      <c r="Y15" s="10" t="inlineStr">
        <is>
          <t>dilaporkan: overhead runtime minimal mempertahankan utilitas (Sec. V)</t>
        </is>
      </c>
      <c r="Z15" s="10" t="inlineStr">
        <is>
          <t>Teks lengkap IEEE OJCS (Vol. 7, pp. 504-513). Evaluasi author_run pada 1.080 eksekusi simulasi adversarial: mengurangi blast radius tool berbahaya/halusinasi dan mengendalikan eskalasi wewenang. Catatan deployment: prototipe internal/eksperimental (belum dirilis secara publik).</t>
        </is>
      </c>
      <c r="AA15" s="11">
        <f>IF(I15="","",IF(OR(I15="attack",I15="survey_review",I15="benchmark_measurement",I15="position_other",I15="not_defense"),"n/a",IF(OR(X15="spec_normatif",X15="produksi_bukti_publik"),"L3",IF(ISNUMBER(SEARCH("independent",R15)),"L2",IF(R15="author_run","L1",IF(R15="none","L0",""))))))</f>
        <v/>
      </c>
      <c r="AB15" s="11">
        <f>IF(I15="","",IF(AND(K15="deterministic_policy",M15="ya"),"PERIKSA: deterministic_policy tetapi LLM/ML ada dalam keputusan. ","")&amp;IF(AND(U15="ya",V15=""),"PERIKSA: adaptif=ya wajib ada kutipan. ","")&amp;IF(AND(R15="none",U15&lt;&gt;"n/a_tanpa_evaluasi",U15&lt;&gt;""),"PERIKSA: tanpa evaluasi, adaptif harus n/a. ","")&amp;IF(AND(OR(R15="author_run",R15="author_run+independent",R15="independent_only"),Q15=""),"PERIKSA: isi kelas_dievaluasi. ","")&amp;IF(AND(OR(R15="author_run",R15="author_run+independent",R15="independent_only"),W15=""),"PERIKSA: isi lokasi_bukti. ","")&amp;IF(AND(H15="tidak",R15&lt;&gt;""),"PERIKSA: tanpa teks lengkap, kosongkan kolom evaluasi. ",""))</f>
        <v/>
      </c>
      <c r="AC15" t="inlineStr">
        <is>
          <t>include</t>
        </is>
      </c>
    </row>
    <row r="16" ht="23.25" customHeight="1" s="21">
      <c r="A16" s="12" t="inlineStr">
        <is>
          <t>genliang-2026-runtime-authorization-resources-acquired-ai</t>
        </is>
      </c>
      <c r="B16" s="12" t="inlineStr">
        <is>
          <t>Runtime Authorization for Resources Acquired by AI Agents</t>
        </is>
      </c>
      <c r="C16" s="12" t="n">
        <v>2026</v>
      </c>
      <c r="D16" s="12" t="inlineStr">
        <is>
          <t>E2</t>
        </is>
      </c>
      <c r="E16" s="12" t="inlineStr">
        <is>
          <t>kandidat_agent</t>
        </is>
      </c>
      <c r="F16" s="12" t="inlineStr">
        <is>
          <t>primary</t>
        </is>
      </c>
      <c r="G16" s="13" t="inlineStr">
        <is>
          <t>https://arxiv.org/abs/2609.14744</t>
        </is>
      </c>
      <c r="H16" s="12" t="inlineStr">
        <is>
          <t>tidak</t>
        </is>
      </c>
      <c r="I16" s="12" t="inlineStr">
        <is>
          <t>not_defense</t>
        </is>
      </c>
      <c r="J16" s="12" t="n"/>
      <c r="K16" s="12" t="n"/>
      <c r="L16" s="12" t="n"/>
      <c r="M16" s="12" t="n"/>
      <c r="N16" s="12" t="n"/>
      <c r="O16" s="12" t="n"/>
      <c r="P16" s="12" t="n"/>
      <c r="Q16" s="12" t="n"/>
      <c r="R16" s="12" t="n"/>
      <c r="S16" s="12" t="n"/>
      <c r="T16" s="12" t="n"/>
      <c r="U16" s="12" t="n"/>
      <c r="V16" s="12" t="n"/>
      <c r="W16" s="12" t="n"/>
      <c r="X16" s="12" t="n"/>
      <c r="Y16" s="12" t="n"/>
      <c r="Z16" s="12" t="inlineStr">
        <is>
          <t>[AUDIT_v5_EXCLUDE: EC2] Dikeluarkan dari korpus MCP-spesifik oleh audit reviewer kedua v5. Makalah otorisasi sumber daya runtime agen umum di mana MCP hanya format perolehan sumber daya insidental.</t>
        </is>
      </c>
      <c r="AA16" s="12">
        <f>IF(I16="","",IF(OR(I16="attack",I16="survey_review",I16="benchmark_measurement",I16="position_other",I16="not_defense"),"n/a",IF(OR(X16="spec_normatif",X16="produksi_bukti_publik"),"L3",IF(ISNUMBER(SEARCH("independent",R16)),"L2",IF(R16="author_run","L1",IF(R16="none","L0",""))))))</f>
        <v/>
      </c>
      <c r="AB16" s="12">
        <f>IF(I16="","",IF(AND(K16="deterministic_policy",M16="ya"),"PERIKSA: deterministic_policy tetapi LLM/ML ada dalam keputusan. ","")&amp;IF(AND(U16="ya",V16=""),"PERIKSA: adaptif=ya wajib ada kutipan. ","")&amp;IF(AND(R16="none",U16&lt;&gt;"n/a_tanpa_evaluasi",U16&lt;&gt;""),"PERIKSA: tanpa evaluasi, adaptif harus n/a. ","")&amp;IF(AND(OR(R16="author_run",R16="author_run+independent",R16="independent_only"),Q16=""),"PERIKSA: isi kelas_dievaluasi. ","")&amp;IF(AND(OR(R16="author_run",R16="author_run+independent",R16="independent_only"),W16=""),"PERIKSA: isi lokasi_bukti. ","")&amp;IF(AND(H16="tidak",R16&lt;&gt;""),"PERIKSA: tanpa teks lengkap, kosongkan kolom evaluasi. ",""))</f>
        <v/>
      </c>
      <c r="AC16" s="14" t="inlineStr">
        <is>
          <t>exclude</t>
        </is>
      </c>
      <c r="AD16" s="14" t="inlineStr">
        <is>
          <t>EC2</t>
        </is>
      </c>
      <c r="AE16" s="14" t="inlineStr">
        <is>
          <t>dikeluarkan setelah audit reviewer kedua + rekonsiliasi</t>
        </is>
      </c>
    </row>
    <row r="17" ht="34.5" customHeight="1" s="21">
      <c r="A17" s="8" t="inlineStr">
        <is>
          <t>giovanni-2026-mandato-protocol-level-enforcement-digitally</t>
        </is>
      </c>
      <c r="B17" s="8" t="inlineStr">
        <is>
          <t>Mandato: Protocol-Level Enforcement of Digitally Signed Mandates on AI Agent Actions with Cryptographically Chained Audit Trails</t>
        </is>
      </c>
      <c r="C17" s="8" t="n">
        <v>2026</v>
      </c>
      <c r="D17" s="8" t="inlineStr">
        <is>
          <t>E2</t>
        </is>
      </c>
      <c r="E17" s="8" t="inlineStr">
        <is>
          <t>kandidat_agent</t>
        </is>
      </c>
      <c r="F17" s="8" t="inlineStr">
        <is>
          <t>primary</t>
        </is>
      </c>
      <c r="G17" s="9" t="inlineStr">
        <is>
          <t>https://arxiv.org/abs/2608.14074</t>
        </is>
      </c>
      <c r="H17" s="10" t="inlineStr">
        <is>
          <t>ya</t>
        </is>
      </c>
      <c r="I17" s="10" t="inlineStr">
        <is>
          <t>proposal_only</t>
        </is>
      </c>
      <c r="J17" s="10" t="inlineStr">
        <is>
          <t>MANDATO</t>
        </is>
      </c>
      <c r="K17" s="10" t="inlineStr">
        <is>
          <t>capability_or_token</t>
        </is>
      </c>
      <c r="L17" s="10" t="inlineStr">
        <is>
          <t>Proxy tata kelola MCP yang memvalidasi mandat bertanda tangan digital pada aksi agen dan mencatat jejak audit terantai kriptografis secara tamper-evident.</t>
        </is>
      </c>
      <c r="M17" s="10" t="inlineStr">
        <is>
          <t>tidak</t>
        </is>
      </c>
      <c r="N17" s="10" t="inlineStr">
        <is>
          <t>gateway_proxy</t>
        </is>
      </c>
      <c r="O17" s="10" t="inlineStr">
        <is>
          <t>R3;R5</t>
        </is>
      </c>
      <c r="P17" s="10" t="inlineStr">
        <is>
          <t>C1;C2;C3</t>
        </is>
      </c>
      <c r="Q17" s="10" t="n"/>
      <c r="R17" s="10" t="inlineStr">
        <is>
          <t>none</t>
        </is>
      </c>
      <c r="S17" s="10" t="n"/>
      <c r="T17" s="10" t="inlineStr">
        <is>
          <t>none</t>
        </is>
      </c>
      <c r="U17" s="10" t="inlineStr">
        <is>
          <t>n/a_tanpa_evaluasi</t>
        </is>
      </c>
      <c r="V17" s="10" t="n"/>
      <c r="W17" s="10" t="n"/>
      <c r="X17" s="10" t="inlineStr">
        <is>
          <t>none</t>
        </is>
      </c>
      <c r="Y17" s="10" t="inlineStr">
        <is>
          <t>not_reported</t>
        </is>
      </c>
      <c r="Z17" s="10" t="inlineStr">
        <is>
          <t>Proxy tata kelola MCP untuk mandat bertanda tangan digital. Penulis menyatakan status epistemik sistem masih dalam pengembangan (system under construction) tanpa hasil empiris. KODER 1 menandai defense_primary dengan jenis_evaluasi: none (L0).</t>
        </is>
      </c>
      <c r="AA17" s="11">
        <f>IF(I17="","",IF(OR(I17="attack",I17="survey_review",I17="benchmark_measurement",I17="position_other",I17="not_defense"),"n/a",IF(OR(X17="spec_normatif",X17="produksi_bukti_publik"),"L3",IF(ISNUMBER(SEARCH("independent",R17)),"L2",IF(R17="author_run","L1",IF(R17="none","L0",""))))))</f>
        <v/>
      </c>
      <c r="AB17" s="11">
        <f>IF(I17="","",IF(AND(K17="deterministic_policy",M17="ya"),"PERIKSA: deterministic_policy tetapi LLM/ML ada dalam keputusan. ","")&amp;IF(AND(U17="ya",V17=""),"PERIKSA: adaptif=ya wajib ada kutipan. ","")&amp;IF(AND(R17="none",U17&lt;&gt;"n/a_tanpa_evaluasi",U17&lt;&gt;""),"PERIKSA: tanpa evaluasi, adaptif harus n/a. ","")&amp;IF(AND(OR(R17="author_run",R17="author_run+independent",R17="independent_only"),Q17=""),"PERIKSA: isi kelas_dievaluasi. ","")&amp;IF(AND(OR(R17="author_run",R17="author_run+independent",R17="independent_only"),W17=""),"PERIKSA: isi lokasi_bukti. ","")&amp;IF(AND(H17="tidak",R17&lt;&gt;""),"PERIKSA: tanpa teks lengkap, kosongkan kolom evaluasi. ",""))</f>
        <v/>
      </c>
      <c r="AC17" t="inlineStr">
        <is>
          <t>include</t>
        </is>
      </c>
    </row>
    <row r="18" ht="34.5" customHeight="1" s="21">
      <c r="A18" s="8" t="inlineStr">
        <is>
          <t>guanlin-2025-zero-knowledge-audit-internet-agents</t>
        </is>
      </c>
      <c r="B18" s="8" t="inlineStr">
        <is>
          <t>Zero-Knowledge Audit for Internet of Agents: Privacy-Preserving Communication Verification with Model Context Protocol</t>
        </is>
      </c>
      <c r="C18" s="8" t="n">
        <v>2025</v>
      </c>
      <c r="D18" s="8" t="inlineStr">
        <is>
          <t>E2</t>
        </is>
      </c>
      <c r="E18" s="8" t="inlineStr">
        <is>
          <t>kandidat_agent</t>
        </is>
      </c>
      <c r="F18" s="8" t="inlineStr">
        <is>
          <t>primary</t>
        </is>
      </c>
      <c r="G18" s="9" t="inlineStr">
        <is>
          <t>https://arxiv.org/abs/2512.14737</t>
        </is>
      </c>
      <c r="H18" s="10" t="inlineStr">
        <is>
          <t>ya</t>
        </is>
      </c>
      <c r="I18" s="10" t="inlineStr">
        <is>
          <t>defense_primary</t>
        </is>
      </c>
      <c r="J18" s="10" t="inlineStr">
        <is>
          <t>zk-MCP</t>
        </is>
      </c>
      <c r="K18" s="10" t="inlineStr">
        <is>
          <t>integrity_provenance</t>
        </is>
      </c>
      <c r="L18" s="10" t="inlineStr">
        <is>
          <t>Protokol audit privasi berbasis Zero-Knowledge Proof pada saluran MCP yang memverifikasi kepatuhan format dan keabsahan pesan tanpa mengungkap isi komunikasi.</t>
        </is>
      </c>
      <c r="M18" s="10" t="inlineStr">
        <is>
          <t>tidak</t>
        </is>
      </c>
      <c r="N18" s="10" t="inlineStr">
        <is>
          <t>gateway_proxy</t>
        </is>
      </c>
      <c r="O18" s="10" t="inlineStr">
        <is>
          <t>R4;R6</t>
        </is>
      </c>
      <c r="P18" s="10" t="inlineStr">
        <is>
          <t>C3;D1</t>
        </is>
      </c>
      <c r="Q18" s="10" t="inlineStr">
        <is>
          <t>C3;D1</t>
        </is>
      </c>
      <c r="R18" s="10" t="inlineStr">
        <is>
          <t>author_run</t>
        </is>
      </c>
      <c r="S18" s="10" t="n"/>
      <c r="T18" s="10" t="inlineStr">
        <is>
          <t>authors_own</t>
        </is>
      </c>
      <c r="U18" s="10" t="inlineStr">
        <is>
          <t>tidak</t>
        </is>
      </c>
      <c r="V18" s="10" t="n"/>
      <c r="W18" s="10" t="inlineStr">
        <is>
          <t>Sec V; Table III; Table IV; hal. 8-11</t>
        </is>
      </c>
      <c r="X18" s="10" t="inlineStr">
        <is>
          <t>none</t>
        </is>
      </c>
      <c r="Y18" s="10" t="inlineStr">
        <is>
          <t>latensi bukti ZK (&lt; 50ms) dan overhead transmisi dilaporkan (Sec V)</t>
        </is>
      </c>
      <c r="Z18" s="10" t="inlineStr">
        <is>
          <t>Protokol audit privasi berbasis Zero-Knowledge Proof (zk-MCP) terintegrasi pada kanal MCP. Penegakan kriptografis deterministik (Circom ZK circuit). Dievaluasi pada testbed komunikasi multi-agen IoA. Catatan deployment: prototipe internal/eksperimental (belum dirilis secara publik).</t>
        </is>
      </c>
      <c r="AA18" s="11">
        <f>IF(I18="","",IF(OR(I18="attack",I18="survey_review",I18="benchmark_measurement",I18="position_other",I18="not_defense"),"n/a",IF(OR(X18="spec_normatif",X18="produksi_bukti_publik"),"L3",IF(ISNUMBER(SEARCH("independent",R18)),"L2",IF(R18="author_run","L1",IF(R18="none","L0",""))))))</f>
        <v/>
      </c>
      <c r="AB18" s="11">
        <f>IF(I18="","",IF(AND(K18="deterministic_policy",M18="ya"),"PERIKSA: deterministic_policy tetapi LLM/ML ada dalam keputusan. ","")&amp;IF(AND(U18="ya",V18=""),"PERIKSA: adaptif=ya wajib ada kutipan. ","")&amp;IF(AND(R18="none",U18&lt;&gt;"n/a_tanpa_evaluasi",U18&lt;&gt;""),"PERIKSA: tanpa evaluasi, adaptif harus n/a. ","")&amp;IF(AND(OR(R18="author_run",R18="author_run+independent",R18="independent_only"),Q18=""),"PERIKSA: isi kelas_dievaluasi. ","")&amp;IF(AND(OR(R18="author_run",R18="author_run+independent",R18="independent_only"),W18=""),"PERIKSA: isi lokasi_bukti. ","")&amp;IF(AND(H18="tidak",R18&lt;&gt;""),"PERIKSA: tanpa teks lengkap, kosongkan kolom evaluasi. ",""))</f>
        <v/>
      </c>
      <c r="AC18" t="inlineStr">
        <is>
          <t>include</t>
        </is>
      </c>
    </row>
    <row r="19" ht="23.25" customHeight="1" s="21">
      <c r="A19" s="12" t="inlineStr">
        <is>
          <t>haiyue-2026-agent-audit-security-analysis-system</t>
        </is>
      </c>
      <c r="B19" s="12" t="inlineStr">
        <is>
          <t>Agent Audit: A Security Analysis System for LLM Agent Applications</t>
        </is>
      </c>
      <c r="C19" s="12" t="n">
        <v>2026</v>
      </c>
      <c r="D19" s="12" t="inlineStr">
        <is>
          <t>E2</t>
        </is>
      </c>
      <c r="E19" s="12" t="inlineStr">
        <is>
          <t>kandidat_agent</t>
        </is>
      </c>
      <c r="F19" s="12" t="inlineStr">
        <is>
          <t>primary</t>
        </is>
      </c>
      <c r="G19" s="13" t="inlineStr">
        <is>
          <t>https://arxiv.org/abs/2603.22853</t>
        </is>
      </c>
      <c r="H19" s="12" t="inlineStr">
        <is>
          <t>tidak</t>
        </is>
      </c>
      <c r="I19" s="12" t="inlineStr">
        <is>
          <t>not_defense</t>
        </is>
      </c>
      <c r="J19" s="12" t="n"/>
      <c r="K19" s="12" t="n"/>
      <c r="L19" s="12" t="n"/>
      <c r="M19" s="12" t="n"/>
      <c r="N19" s="12" t="n"/>
      <c r="O19" s="12" t="n"/>
      <c r="P19" s="12" t="n"/>
      <c r="Q19" s="12" t="n"/>
      <c r="R19" s="12" t="n"/>
      <c r="S19" s="12" t="n"/>
      <c r="T19" s="12" t="n"/>
      <c r="U19" s="12" t="n"/>
      <c r="V19" s="12" t="n"/>
      <c r="W19" s="12" t="n"/>
      <c r="X19" s="12" t="n"/>
      <c r="Y19" s="12" t="n"/>
      <c r="Z19" s="12" t="inlineStr">
        <is>
          <t>[AUDIT_v5_EXCLUDE: EC2] Dikeluarkan dari korpus MCP-spesifik oleh audit reviewer kedua v5. Analisis keamanan aplikasi agen LLM umum dengan MCP hanya salah satu format tool insidental.</t>
        </is>
      </c>
      <c r="AA19" s="12">
        <f>IF(I19="","",IF(OR(I19="attack",I19="survey_review",I19="benchmark_measurement",I19="position_other",I19="not_defense"),"n/a",IF(OR(X19="spec_normatif",X19="produksi_bukti_publik"),"L3",IF(ISNUMBER(SEARCH("independent",R19)),"L2",IF(R19="author_run","L1",IF(R19="none","L0",""))))))</f>
        <v/>
      </c>
      <c r="AB19" s="12">
        <f>IF(I19="","",IF(AND(K19="deterministic_policy",M19="ya"),"PERIKSA: deterministic_policy tetapi LLM/ML ada dalam keputusan. ","")&amp;IF(AND(U19="ya",V19=""),"PERIKSA: adaptif=ya wajib ada kutipan. ","")&amp;IF(AND(R19="none",U19&lt;&gt;"n/a_tanpa_evaluasi",U19&lt;&gt;""),"PERIKSA: tanpa evaluasi, adaptif harus n/a. ","")&amp;IF(AND(OR(R19="author_run",R19="author_run+independent",R19="independent_only"),Q19=""),"PERIKSA: isi kelas_dievaluasi. ","")&amp;IF(AND(OR(R19="author_run",R19="author_run+independent",R19="independent_only"),W19=""),"PERIKSA: isi lokasi_bukti. ","")&amp;IF(AND(H19="tidak",R19&lt;&gt;""),"PERIKSA: tanpa teks lengkap, kosongkan kolom evaluasi. ",""))</f>
        <v/>
      </c>
      <c r="AC19" s="14" t="inlineStr">
        <is>
          <t>exclude</t>
        </is>
      </c>
      <c r="AD19" s="14" t="inlineStr">
        <is>
          <t>EC2</t>
        </is>
      </c>
      <c r="AE19" s="14" t="inlineStr">
        <is>
          <t>audit lanjutan; diterima koordinator</t>
        </is>
      </c>
    </row>
    <row r="20" ht="23.25" customHeight="1" s="21">
      <c r="A20" s="8" t="inlineStr">
        <is>
          <t>huan-2026-zero-trust-authorization-discovery-enterprise</t>
        </is>
      </c>
      <c r="B20" s="8" t="inlineStr">
        <is>
          <t>Zero-Trust Authorization and Discovery for Enterprise MCP</t>
        </is>
      </c>
      <c r="C20" s="8" t="n">
        <v>2026</v>
      </c>
      <c r="D20" s="8" t="inlineStr">
        <is>
          <t>E2</t>
        </is>
      </c>
      <c r="E20" s="8" t="inlineStr">
        <is>
          <t>kandidat_agent</t>
        </is>
      </c>
      <c r="F20" s="8" t="inlineStr">
        <is>
          <t>primary</t>
        </is>
      </c>
      <c r="G20" s="9" t="inlineStr">
        <is>
          <t>https://arxiv.org/abs/2609.22573</t>
        </is>
      </c>
      <c r="H20" s="10" t="inlineStr">
        <is>
          <t>ya</t>
        </is>
      </c>
      <c r="I20" s="10" t="inlineStr">
        <is>
          <t>defense_primary</t>
        </is>
      </c>
      <c r="J20" s="10" t="inlineStr">
        <is>
          <t>FastMCP Zero-Trust Extensions</t>
        </is>
      </c>
      <c r="K20" s="10" t="inlineStr">
        <is>
          <t>deterministic_policy</t>
        </is>
      </c>
      <c r="L20" s="10" t="inlineStr">
        <is>
          <t>Ekstensi zero-trust middleware FastMCP yang menyediakan otorisasi per-tool AND/OR deklaratif, autentikasi dual-persona, serta cache introspeksi token untuk validasi kontinu.</t>
        </is>
      </c>
      <c r="M20" s="10" t="inlineStr">
        <is>
          <t>tidak</t>
        </is>
      </c>
      <c r="N20" s="10" t="inlineStr">
        <is>
          <t>gateway_proxy</t>
        </is>
      </c>
      <c r="O20" s="10" t="inlineStr">
        <is>
          <t>R3;R4;R5</t>
        </is>
      </c>
      <c r="P20" s="10" t="inlineStr">
        <is>
          <t>C1;C2;C3;C5</t>
        </is>
      </c>
      <c r="Q20" s="10" t="inlineStr">
        <is>
          <t>C1;C2;C3;C5</t>
        </is>
      </c>
      <c r="R20" s="10" t="inlineStr">
        <is>
          <t>author_run</t>
        </is>
      </c>
      <c r="S20" s="10" t="n"/>
      <c r="T20" s="10" t="inlineStr">
        <is>
          <t>authors_own</t>
        </is>
      </c>
      <c r="U20" s="10" t="inlineStr">
        <is>
          <t>tidak</t>
        </is>
      </c>
      <c r="V20" s="10" t="n"/>
      <c r="W20" s="10" t="inlineStr">
        <is>
          <t>Sec 4.1; Sec 4.2; Sec 4.3; Table 2; Table 3; Table 4; hal. 6-10</t>
        </is>
      </c>
      <c r="X20" s="10" t="inlineStr">
        <is>
          <t>none</t>
        </is>
      </c>
      <c r="Y20" s="10" t="inlineStr">
        <is>
          <t>latensi (p50: 9.9 ms vs 296 ms, Tabel 2) dan trace produksi 7 hari dilaporkan (Sec 4.2)</t>
        </is>
      </c>
      <c r="Z20" s="10" t="inlineStr">
        <is>
          <t>Ekstensi zero-trust untuk FastMCP oleh insinyur PayPal yang menambahkan otorisasi per-tool, dual-persona auth, dan cache introspeksi token. Diuji secara adversarial pada testbed alat Kubernetes dan dievaluasi pada jejak produksi PayPal 7 hari. Catatan deployment: prototipe internal/eksperimental (belum dirilis secara publik).</t>
        </is>
      </c>
      <c r="AA20" s="11">
        <f>IF(I20="","",IF(OR(I20="attack",I20="survey_review",I20="benchmark_measurement",I20="position_other",I20="not_defense"),"n/a",IF(OR(X20="spec_normatif",X20="produksi_bukti_publik"),"L3",IF(ISNUMBER(SEARCH("independent",R20)),"L2",IF(R20="author_run","L1",IF(R20="none","L0",""))))))</f>
        <v/>
      </c>
      <c r="AB20" s="11">
        <f>IF(I20="","",IF(AND(K20="deterministic_policy",M20="ya"),"PERIKSA: deterministic_policy tetapi LLM/ML ada dalam keputusan. ","")&amp;IF(AND(U20="ya",V20=""),"PERIKSA: adaptif=ya wajib ada kutipan. ","")&amp;IF(AND(R20="none",U20&lt;&gt;"n/a_tanpa_evaluasi",U20&lt;&gt;""),"PERIKSA: tanpa evaluasi, adaptif harus n/a. ","")&amp;IF(AND(OR(R20="author_run",R20="author_run+independent",R20="independent_only"),Q20=""),"PERIKSA: isi kelas_dievaluasi. ","")&amp;IF(AND(OR(R20="author_run",R20="author_run+independent",R20="independent_only"),W20=""),"PERIKSA: isi lokasi_bukti. ","")&amp;IF(AND(H20="tidak",R20&lt;&gt;""),"PERIKSA: tanpa teks lengkap, kosongkan kolom evaluasi. ",""))</f>
        <v/>
      </c>
      <c r="AC20" t="inlineStr">
        <is>
          <t>include</t>
        </is>
      </c>
    </row>
    <row r="21" ht="23.25" customHeight="1" s="21">
      <c r="A21" s="8" t="inlineStr">
        <is>
          <t>huihao-2025-mcip-protecting-mcp-safety-via</t>
        </is>
      </c>
      <c r="B21" s="8" t="inlineStr">
        <is>
          <t>MCIP: Protecting MCP Safety via Model Contextual Integrity Protocol</t>
        </is>
      </c>
      <c r="C21" s="8" t="n">
        <v>2025</v>
      </c>
      <c r="D21" s="8" t="inlineStr">
        <is>
          <t>E1</t>
        </is>
      </c>
      <c r="E21" s="8" t="inlineStr">
        <is>
          <t>kandidat_agent</t>
        </is>
      </c>
      <c r="F21" s="8" t="inlineStr">
        <is>
          <t>primary</t>
        </is>
      </c>
      <c r="G21" s="9" t="inlineStr">
        <is>
          <t>https://doi.org/10.18653/v1/2025.emnlp-main.62</t>
        </is>
      </c>
      <c r="H21" s="10" t="inlineStr">
        <is>
          <t>ya</t>
        </is>
      </c>
      <c r="I21" s="10" t="inlineStr">
        <is>
          <t>defense_primary</t>
        </is>
      </c>
      <c r="J21" s="10" t="inlineStr">
        <is>
          <t>MCIP</t>
        </is>
      </c>
      <c r="K21" s="10" t="inlineStr">
        <is>
          <t>content_inspection_runtime</t>
        </is>
      </c>
      <c r="L21" s="10" t="inlineStr">
        <is>
          <t>Protokol integritas kontekstual dengan model pelindung (MCIP Guardian) yang mengawasi alur konteks interaksi MCP dan mendeteksi aksi tidak aman pada pemanggilan tool.</t>
        </is>
      </c>
      <c r="M21" s="10" t="inlineStr">
        <is>
          <t>ya</t>
        </is>
      </c>
      <c r="N21" s="10" t="inlineStr">
        <is>
          <t>H</t>
        </is>
      </c>
      <c r="O21" s="10" t="inlineStr">
        <is>
          <t>R2;R5;R6</t>
        </is>
      </c>
      <c r="P21" s="10" t="inlineStr">
        <is>
          <t>A1;A2;C5;D1</t>
        </is>
      </c>
      <c r="Q21" s="10" t="inlineStr">
        <is>
          <t>A1;A2;C5;D1</t>
        </is>
      </c>
      <c r="R21" s="10" t="inlineStr">
        <is>
          <t>author_run+independent</t>
        </is>
      </c>
      <c r="S21" s="10" t="inlineStr">
        <is>
          <t>yixuan-2025-mcpsecbench-systematic-security-benchmark-playground</t>
        </is>
      </c>
      <c r="T21" s="10" t="inlineStr">
        <is>
          <t>mixed</t>
        </is>
      </c>
      <c r="U21" s="10" t="inlineStr">
        <is>
          <t>tidak</t>
        </is>
      </c>
      <c r="V21" s="10" t="n"/>
      <c r="W21" s="10" t="inlineStr">
        <is>
          <t>Sec 6; Sec 7; Table 2; Fig 5; hal. 6-9</t>
        </is>
      </c>
      <c r="X21" s="10" t="inlineStr">
        <is>
          <t>none</t>
        </is>
      </c>
      <c r="Y21" s="10" t="inlineStr">
        <is>
          <t>trade-off utilitas BFCL dan resistensi risiko dilaporkan (Tabel 2, Fig 5)</t>
        </is>
      </c>
      <c r="Z21" s="10" t="inlineStr">
        <is>
          <t>Kerangka pengamanan MCP berbasis protokol integritas kontekstual (MCIP) dan model pelindung (MCIP Guardian). Dievaluasi secara independen oleh MCPSecBench (yixuan-2025) pada 3 platform MCP (Tabel 1, 2, Fig 4, 6) sehingga mencapai maturitas L2. Catatan deployment: prototipe internal/eksperimental (belum dirilis secara publik).</t>
        </is>
      </c>
      <c r="AA21" s="11">
        <f>IF(I21="","",IF(OR(I21="attack",I21="survey_review",I21="benchmark_measurement",I21="position_other",I21="not_defense"),"n/a",IF(OR(X21="spec_normatif",X21="produksi_bukti_publik"),"L3",IF(ISNUMBER(SEARCH("independent",R21)),"L2",IF(R21="author_run","L1",IF(R21="none","L0",""))))))</f>
        <v/>
      </c>
      <c r="AB21" s="11">
        <f>IF(I21="","",IF(AND(K21="deterministic_policy",M21="ya"),"PERIKSA: deterministic_policy tetapi LLM/ML ada dalam keputusan. ","")&amp;IF(AND(U21="ya",V21=""),"PERIKSA: adaptif=ya wajib ada kutipan. ","")&amp;IF(AND(R21="none",U21&lt;&gt;"n/a_tanpa_evaluasi",U21&lt;&gt;""),"PERIKSA: tanpa evaluasi, adaptif harus n/a. ","")&amp;IF(AND(OR(R21="author_run",R21="author_run+independent",R21="independent_only"),Q21=""),"PERIKSA: isi kelas_dievaluasi. ","")&amp;IF(AND(OR(R21="author_run",R21="author_run+independent",R21="independent_only"),W21=""),"PERIKSA: isi lokasi_bukti. ","")&amp;IF(AND(H21="tidak",R21&lt;&gt;""),"PERIKSA: tanpa teks lengkap, kosongkan kolom evaluasi. ",""))</f>
        <v/>
      </c>
      <c r="AC21" t="inlineStr">
        <is>
          <t>include</t>
        </is>
      </c>
    </row>
    <row r="22" ht="34.5" customHeight="1" s="21">
      <c r="A22" s="8" t="inlineStr">
        <is>
          <t>ignacio-2026-crud-autonomous-agents-formal-validation</t>
        </is>
      </c>
      <c r="B22" s="8" t="inlineStr">
        <is>
          <t>From CRUD to Autonomous Agents: Formal Validation and Zero-Trust Security for Semantic Gateways in AI-Native Enterprise Systems</t>
        </is>
      </c>
      <c r="C22" s="8" t="n">
        <v>2026</v>
      </c>
      <c r="D22" s="8" t="inlineStr">
        <is>
          <t>E2</t>
        </is>
      </c>
      <c r="E22" s="8" t="inlineStr">
        <is>
          <t>kandidat_agent</t>
        </is>
      </c>
      <c r="F22" s="8" t="inlineStr">
        <is>
          <t>primary</t>
        </is>
      </c>
      <c r="G22" s="9" t="inlineStr">
        <is>
          <t>https://arxiv.org/abs/2604.25555</t>
        </is>
      </c>
      <c r="H22" s="10" t="inlineStr">
        <is>
          <t>ya</t>
        </is>
      </c>
      <c r="I22" s="10" t="inlineStr">
        <is>
          <t>defense_primary</t>
        </is>
      </c>
      <c r="J22" s="10" t="inlineStr">
        <is>
          <t>Semantic Gateway</t>
        </is>
      </c>
      <c r="K22" s="10" t="inlineStr">
        <is>
          <t>deterministic_policy</t>
        </is>
      </c>
      <c r="L22" s="10" t="inlineStr">
        <is>
          <t>Gateway semantik zero-trust dengan validasi formal transisi state (EPA) dan penegakan kebijakan OPA/Rego deterministik untuk mencegah pelanggaran otorisasi BOLA.</t>
        </is>
      </c>
      <c r="M22" s="10" t="inlineStr">
        <is>
          <t>tidak</t>
        </is>
      </c>
      <c r="N22" s="10" t="inlineStr">
        <is>
          <t>gateway_proxy</t>
        </is>
      </c>
      <c r="O22" s="10" t="inlineStr">
        <is>
          <t>R3;R5</t>
        </is>
      </c>
      <c r="P22" s="10" t="inlineStr">
        <is>
          <t>C1;C2;C5</t>
        </is>
      </c>
      <c r="Q22" s="10" t="inlineStr">
        <is>
          <t>C1;C2;C5</t>
        </is>
      </c>
      <c r="R22" s="10" t="inlineStr">
        <is>
          <t>author_run</t>
        </is>
      </c>
      <c r="S22" s="10" t="n"/>
      <c r="T22" s="10" t="inlineStr">
        <is>
          <t>authors_own</t>
        </is>
      </c>
      <c r="U22" s="10" t="inlineStr">
        <is>
          <t>tidak</t>
        </is>
      </c>
      <c r="V22" s="10" t="n"/>
      <c r="W22" s="10" t="inlineStr">
        <is>
          <t>Sec 8; Sec 8.3; Sec 8.4; Table 2; Table 3; hal. 14-16</t>
        </is>
      </c>
      <c r="X22" s="10" t="inlineStr">
        <is>
          <t>prototype_open_source</t>
        </is>
      </c>
      <c r="Y22" s="10" t="inlineStr">
        <is>
          <t>latensi gateway semantik vs traditional REST baseline dilaporkan (Tabel 3)</t>
        </is>
      </c>
      <c r="Z22" s="10" t="inlineStr">
        <is>
          <t>Gateway semantik zero-trust dengan penegakan kebijakan deterministik OPA/Rego dan validasi formal graf EPA. Dievaluasi dengan semantic fuzzer 500 iterasi dan 47 kasus uji, menolak pelanggaran BOLA dan transisi ilegal. Repositori/artefak: https://github.com/PeyranoDev/semantic-gateway-poc.</t>
        </is>
      </c>
      <c r="AA22" s="11">
        <f>IF(I22="","",IF(OR(I22="attack",I22="survey_review",I22="benchmark_measurement",I22="position_other",I22="not_defense"),"n/a",IF(OR(X22="spec_normatif",X22="produksi_bukti_publik"),"L3",IF(ISNUMBER(SEARCH("independent",R22)),"L2",IF(R22="author_run","L1",IF(R22="none","L0",""))))))</f>
        <v/>
      </c>
      <c r="AB22" s="11">
        <f>IF(I22="","",IF(AND(K22="deterministic_policy",M22="ya"),"PERIKSA: deterministic_policy tetapi LLM/ML ada dalam keputusan. ","")&amp;IF(AND(U22="ya",V22=""),"PERIKSA: adaptif=ya wajib ada kutipan. ","")&amp;IF(AND(R22="none",U22&lt;&gt;"n/a_tanpa_evaluasi",U22&lt;&gt;""),"PERIKSA: tanpa evaluasi, adaptif harus n/a. ","")&amp;IF(AND(OR(R22="author_run",R22="author_run+independent",R22="independent_only"),Q22=""),"PERIKSA: isi kelas_dievaluasi. ","")&amp;IF(AND(OR(R22="author_run",R22="author_run+independent",R22="independent_only"),W22=""),"PERIKSA: isi lokasi_bukti. ","")&amp;IF(AND(H22="tidak",R22&lt;&gt;""),"PERIKSA: tanpa teks lengkap, kosongkan kolom evaluasi. ",""))</f>
        <v/>
      </c>
      <c r="AC22" t="inlineStr">
        <is>
          <t>include</t>
        </is>
      </c>
    </row>
    <row r="23" ht="23.25" customHeight="1" s="21">
      <c r="A23" s="8" t="inlineStr">
        <is>
          <t>ivo-2025-simplified-secure-mcp-gateways-enterprise</t>
        </is>
      </c>
      <c r="B23" s="8" t="inlineStr">
        <is>
          <t>Simplified and Secure MCP Gateways for Enterprise AI Integration</t>
        </is>
      </c>
      <c r="C23" s="8" t="n">
        <v>2025</v>
      </c>
      <c r="D23" s="8" t="inlineStr">
        <is>
          <t>E2</t>
        </is>
      </c>
      <c r="E23" s="8" t="inlineStr">
        <is>
          <t>kandidat_agent</t>
        </is>
      </c>
      <c r="F23" s="8" t="inlineStr">
        <is>
          <t>primary</t>
        </is>
      </c>
      <c r="G23" s="9" t="inlineStr">
        <is>
          <t>https://doi.org/10.48550/arxiv.2504.19997</t>
        </is>
      </c>
      <c r="H23" s="10" t="inlineStr">
        <is>
          <t>ya</t>
        </is>
      </c>
      <c r="I23" s="10" t="inlineStr">
        <is>
          <t>defense_primary</t>
        </is>
      </c>
      <c r="J23" s="10" t="inlineStr">
        <is>
          <t>MCP Gateway</t>
        </is>
      </c>
      <c r="K23" s="10" t="inlineStr">
        <is>
          <t>deterministic_policy</t>
        </is>
      </c>
      <c r="L23" s="10" t="inlineStr">
        <is>
          <t>Arsitektur gateway pengaman MCP enterprise self-hosted berbasis OAuth2-proxy, reverse proxy Traefik, CrowdSec IDS/WAF, dan tunnel WireGuard.</t>
        </is>
      </c>
      <c r="M23" s="10" t="inlineStr">
        <is>
          <t>tidak</t>
        </is>
      </c>
      <c r="N23" s="10" t="inlineStr">
        <is>
          <t>gateway_proxy</t>
        </is>
      </c>
      <c r="O23" s="10" t="inlineStr">
        <is>
          <t>R4;R5</t>
        </is>
      </c>
      <c r="P23" s="10" t="inlineStr">
        <is>
          <t>C3;C5</t>
        </is>
      </c>
      <c r="Q23" s="10" t="inlineStr">
        <is>
          <t>C3;C5</t>
        </is>
      </c>
      <c r="R23" s="10" t="inlineStr">
        <is>
          <t>author_run</t>
        </is>
      </c>
      <c r="S23" s="10" t="n"/>
      <c r="T23" s="10" t="inlineStr">
        <is>
          <t>authors_own</t>
        </is>
      </c>
      <c r="U23" s="10" t="inlineStr">
        <is>
          <t>tidak</t>
        </is>
      </c>
      <c r="V23" s="10" t="n"/>
      <c r="W23" s="10" t="inlineStr">
        <is>
          <t>Sec VIII; Table I; Table II; hal. 4-6</t>
        </is>
      </c>
      <c r="X23" s="10" t="inlineStr">
        <is>
          <t>none</t>
        </is>
      </c>
      <c r="Y23" s="10" t="inlineStr">
        <is>
          <t>not_reported</t>
        </is>
      </c>
      <c r="Z23" s="10" t="inlineStr">
        <is>
          <t>Arsitektur gateway pengaman MCP enterprise self-hosted berbasis OAuth2-proxy, Traefik, CrowdSec, dan tunnel WireGuard. Penegakan deterministik pada gateway proxy menolak permintaan tanpa autentikasi dan token tidak sah. Catatan deployment: prototipe internal/eksperimental (belum dirilis secara publik).</t>
        </is>
      </c>
      <c r="AA23" s="11">
        <f>IF(I23="","",IF(OR(I23="attack",I23="survey_review",I23="benchmark_measurement",I23="position_other",I23="not_defense"),"n/a",IF(OR(X23="spec_normatif",X23="produksi_bukti_publik"),"L3",IF(ISNUMBER(SEARCH("independent",R23)),"L2",IF(R23="author_run","L1",IF(R23="none","L0",""))))))</f>
        <v/>
      </c>
      <c r="AB23" s="11">
        <f>IF(I23="","",IF(AND(K23="deterministic_policy",M23="ya"),"PERIKSA: deterministic_policy tetapi LLM/ML ada dalam keputusan. ","")&amp;IF(AND(U23="ya",V23=""),"PERIKSA: adaptif=ya wajib ada kutipan. ","")&amp;IF(AND(R23="none",U23&lt;&gt;"n/a_tanpa_evaluasi",U23&lt;&gt;""),"PERIKSA: tanpa evaluasi, adaptif harus n/a. ","")&amp;IF(AND(OR(R23="author_run",R23="author_run+independent",R23="independent_only"),Q23=""),"PERIKSA: isi kelas_dievaluasi. ","")&amp;IF(AND(OR(R23="author_run",R23="author_run+independent",R23="independent_only"),W23=""),"PERIKSA: isi lokasi_bukti. ","")&amp;IF(AND(H23="tidak",R23&lt;&gt;""),"PERIKSA: tanpa teks lengkap, kosongkan kolom evaluasi. ",""))</f>
        <v/>
      </c>
      <c r="AC23" t="inlineStr">
        <is>
          <t>include</t>
        </is>
      </c>
    </row>
    <row r="24" ht="34.5" customHeight="1" s="21">
      <c r="A24" s="8" t="inlineStr">
        <is>
          <t>jalendar-2025-zero-trust-proof-gated-agent</t>
        </is>
      </c>
      <c r="B24" s="8" t="inlineStr">
        <is>
          <t>Zero-Trust Proof-Gated Agent Architecture (ZPAA): A Comprehensive Security Model for the Model Context Protocol (MCP)</t>
        </is>
      </c>
      <c r="C24" s="8" t="n">
        <v>2025</v>
      </c>
      <c r="D24" s="8" t="inlineStr">
        <is>
          <t>E2</t>
        </is>
      </c>
      <c r="E24" s="8" t="inlineStr">
        <is>
          <t>kandidat_agent</t>
        </is>
      </c>
      <c r="F24" s="8" t="inlineStr">
        <is>
          <t>primary</t>
        </is>
      </c>
      <c r="G24" s="9" t="inlineStr">
        <is>
          <t>https://doi.org/10.22541/au.175761889.90929465/v1</t>
        </is>
      </c>
      <c r="H24" s="10" t="inlineStr">
        <is>
          <t>tidak</t>
        </is>
      </c>
      <c r="I24" s="10" t="inlineStr">
        <is>
          <t>defense_primary</t>
        </is>
      </c>
      <c r="J24" s="10" t="inlineStr">
        <is>
          <t>Zero-Trust Proof-Gated Agent Architecture</t>
        </is>
      </c>
      <c r="K24" s="10" t="inlineStr">
        <is>
          <t>deterministic_policy</t>
        </is>
      </c>
      <c r="L24" s="10" t="inlineStr">
        <is>
          <t>Model arsitektur agen zero-trust berbasis bukti untuk memvalidasi interaksi dan izin pemanggilan Model Context Protocol.</t>
        </is>
      </c>
      <c r="M24" s="10" t="inlineStr">
        <is>
          <t>tidak</t>
        </is>
      </c>
      <c r="N24" s="10" t="inlineStr">
        <is>
          <t>gateway_proxy</t>
        </is>
      </c>
      <c r="O24" s="10" t="inlineStr">
        <is>
          <t>R3;R4</t>
        </is>
      </c>
      <c r="P24" s="10" t="inlineStr">
        <is>
          <t>C3;C1</t>
        </is>
      </c>
      <c r="Q24" s="10" t="n"/>
      <c r="R24" s="10" t="n"/>
      <c r="S24" s="10" t="n"/>
      <c r="T24" s="10" t="n"/>
      <c r="U24" s="10" t="n"/>
      <c r="V24" s="10" t="n"/>
      <c r="W24" s="10" t="n"/>
      <c r="X24" s="10" t="n"/>
      <c r="Y24" s="10" t="n"/>
      <c r="Z24" s="10" t="inlineStr">
        <is>
          <t>[NON-OA / ABSTRACT-ONLY] Artikel Authorea dengan akses terbatas. Arsitektur agen proof-gated zero-trust untuk memverifikasi bukti kriptografis sebelum eksekusi aksi (C3, C1).</t>
        </is>
      </c>
      <c r="AA24" s="11">
        <f>IF(I24="","",IF(OR(I24="attack",I24="survey_review",I24="benchmark_measurement",I24="position_other",I24="not_defense"),"n/a",IF(OR(X24="spec_normatif",X24="produksi_bukti_publik"),"L3",IF(ISNUMBER(SEARCH("independent",R24)),"L2",IF(R24="author_run","L1",IF(R24="none","L0",""))))))</f>
        <v/>
      </c>
      <c r="AB24" s="11">
        <f>IF(I24="","",IF(AND(K24="deterministic_policy",M24="ya"),"PERIKSA: deterministic_policy tetapi LLM/ML ada dalam keputusan. ","")&amp;IF(AND(U24="ya",V24=""),"PERIKSA: adaptif=ya wajib ada kutipan. ","")&amp;IF(AND(R24="none",U24&lt;&gt;"n/a_tanpa_evaluasi",U24&lt;&gt;""),"PERIKSA: tanpa evaluasi, adaptif harus n/a. ","")&amp;IF(AND(OR(R24="author_run",R24="author_run+independent",R24="independent_only"),Q24=""),"PERIKSA: isi kelas_dievaluasi. ","")&amp;IF(AND(OR(R24="author_run",R24="author_run+independent",R24="independent_only"),W24=""),"PERIKSA: isi lokasi_bukti. ","")&amp;IF(AND(H24="tidak",R24&lt;&gt;""),"PERIKSA: tanpa teks lengkap, kosongkan kolom evaluasi. ",""))</f>
        <v/>
      </c>
      <c r="AC24" t="inlineStr">
        <is>
          <t>include</t>
        </is>
      </c>
    </row>
    <row r="25" ht="34.5" customHeight="1" s="21">
      <c r="A25" s="12" t="inlineStr">
        <is>
          <t>lichao-2026-safemcp-proactive-power-regulation-llm</t>
        </is>
      </c>
      <c r="B25" s="12" t="inlineStr">
        <is>
          <t>SafeMCP: Proactive Power Regulation for LLM Agent Defense via Environment-Grounded Look-Ahead Reasoning</t>
        </is>
      </c>
      <c r="C25" s="12" t="n">
        <v>2026</v>
      </c>
      <c r="D25" s="12" t="inlineStr">
        <is>
          <t>E2</t>
        </is>
      </c>
      <c r="E25" s="12" t="inlineStr">
        <is>
          <t>kandidat_agent</t>
        </is>
      </c>
      <c r="F25" s="12" t="inlineStr">
        <is>
          <t>primary</t>
        </is>
      </c>
      <c r="G25" s="13" t="inlineStr">
        <is>
          <t>https://arxiv.org/abs/2606.01991</t>
        </is>
      </c>
      <c r="H25" s="12" t="inlineStr">
        <is>
          <t>tidak</t>
        </is>
      </c>
      <c r="I25" s="12" t="inlineStr">
        <is>
          <t>not_defense</t>
        </is>
      </c>
      <c r="J25" s="12" t="n"/>
      <c r="K25" s="12" t="n"/>
      <c r="L25" s="12" t="n"/>
      <c r="M25" s="12" t="n"/>
      <c r="N25" s="12" t="n"/>
      <c r="O25" s="12" t="n"/>
      <c r="P25" s="12" t="n"/>
      <c r="Q25" s="12" t="n"/>
      <c r="R25" s="12" t="n"/>
      <c r="S25" s="12" t="n"/>
      <c r="T25" s="12" t="n"/>
      <c r="U25" s="12" t="n"/>
      <c r="V25" s="12" t="n"/>
      <c r="W25" s="12" t="n"/>
      <c r="X25" s="12" t="n"/>
      <c r="Y25" s="12" t="n"/>
      <c r="Z25" s="12" t="inlineStr">
        <is>
          <t>[AUDIT_v5_EXCLUDE: EC2] Dikeluarkan dari korpus MCP-spesifik oleh audit reviewer kedua v5. Regulasi proaktif agen LLM umum via look-ahead reasoning di mana MCP insidental.</t>
        </is>
      </c>
      <c r="AA25" s="12">
        <f>IF(I25="","",IF(OR(I25="attack",I25="survey_review",I25="benchmark_measurement",I25="position_other",I25="not_defense"),"n/a",IF(OR(X25="spec_normatif",X25="produksi_bukti_publik"),"L3",IF(ISNUMBER(SEARCH("independent",R25)),"L2",IF(R25="author_run","L1",IF(R25="none","L0",""))))))</f>
        <v/>
      </c>
      <c r="AB25" s="12">
        <f>IF(I25="","",IF(AND(K25="deterministic_policy",M25="ya"),"PERIKSA: deterministic_policy tetapi LLM/ML ada dalam keputusan. ","")&amp;IF(AND(U25="ya",V25=""),"PERIKSA: adaptif=ya wajib ada kutipan. ","")&amp;IF(AND(R25="none",U25&lt;&gt;"n/a_tanpa_evaluasi",U25&lt;&gt;""),"PERIKSA: tanpa evaluasi, adaptif harus n/a. ","")&amp;IF(AND(OR(R25="author_run",R25="author_run+independent",R25="independent_only"),Q25=""),"PERIKSA: isi kelas_dievaluasi. ","")&amp;IF(AND(OR(R25="author_run",R25="author_run+independent",R25="independent_only"),W25=""),"PERIKSA: isi lokasi_bukti. ","")&amp;IF(AND(H25="tidak",R25&lt;&gt;""),"PERIKSA: tanpa teks lengkap, kosongkan kolom evaluasi. ",""))</f>
        <v/>
      </c>
      <c r="AC25" s="14" t="inlineStr">
        <is>
          <t>exclude</t>
        </is>
      </c>
      <c r="AD25" s="14" t="inlineStr">
        <is>
          <t>EC2</t>
        </is>
      </c>
      <c r="AE25" s="14" t="inlineStr">
        <is>
          <t>audit lanjutan; diterima koordinator</t>
        </is>
      </c>
    </row>
    <row r="26" ht="34.5" customHeight="1" s="21">
      <c r="A26" s="8" t="inlineStr">
        <is>
          <t>manish-2025-etdi-mitigating-tool-squatting-rug</t>
        </is>
      </c>
      <c r="B26" s="8" t="inlineStr">
        <is>
          <t>ETDI: Mitigating Tool Squatting and Rug Pull Attacks in Model Context Protocol (MCP) by using OAuth-Enhanced Tool Definitions and Policy-Based Access Control</t>
        </is>
      </c>
      <c r="C26" s="8" t="n">
        <v>2025</v>
      </c>
      <c r="D26" s="8" t="inlineStr">
        <is>
          <t>E1</t>
        </is>
      </c>
      <c r="E26" s="8" t="inlineStr">
        <is>
          <t>kandidat_agent</t>
        </is>
      </c>
      <c r="F26" s="8" t="inlineStr">
        <is>
          <t>primary</t>
        </is>
      </c>
      <c r="G26" s="9" t="inlineStr">
        <is>
          <t>https://arxiv.org/abs/2506.01333</t>
        </is>
      </c>
      <c r="H26" s="10" t="inlineStr">
        <is>
          <t>ya</t>
        </is>
      </c>
      <c r="I26" s="10" t="inlineStr">
        <is>
          <t>defense_primary</t>
        </is>
      </c>
      <c r="J26" s="10" t="inlineStr">
        <is>
          <t>ETDI</t>
        </is>
      </c>
      <c r="K26" s="10" t="inlineStr">
        <is>
          <t>cryptographic_integrity</t>
        </is>
      </c>
      <c r="L26" s="10" t="inlineStr">
        <is>
          <t>Spesifikasi antarmuka Enhanced Tool Definition Interface (ETDI) dengan verifikasi identitas kriptografis, versi definisi immutable, dan kebijakan Cedar/OPA untuk mitigasi tool squatting dan rug pull.</t>
        </is>
      </c>
      <c r="M26" s="10" t="inlineStr">
        <is>
          <t>tidak</t>
        </is>
      </c>
      <c r="N26" s="10" t="inlineStr">
        <is>
          <t>G</t>
        </is>
      </c>
      <c r="O26" s="10" t="inlineStr">
        <is>
          <t>R1;R6</t>
        </is>
      </c>
      <c r="P26" s="10" t="inlineStr">
        <is>
          <t>A1;B1</t>
        </is>
      </c>
      <c r="Q26" s="10" t="n"/>
      <c r="R26" s="10" t="inlineStr">
        <is>
          <t>none</t>
        </is>
      </c>
      <c r="S26" s="10" t="n"/>
      <c r="T26" s="10" t="inlineStr">
        <is>
          <t>none</t>
        </is>
      </c>
      <c r="U26" s="10" t="inlineStr">
        <is>
          <t>n/a_tanpa_evaluasi</t>
        </is>
      </c>
      <c r="V26" s="10" t="n"/>
      <c r="W26" s="10" t="inlineStr">
        <is>
          <t>Sec. 3-4, hal. 4-6</t>
        </is>
      </c>
      <c r="X26" s="10" t="inlineStr">
        <is>
          <t>none</t>
        </is>
      </c>
      <c r="Y26" s="10" t="inlineStr">
        <is>
          <t>not_reported</t>
        </is>
      </c>
      <c r="Z26" s="10" t="inlineStr">
        <is>
          <t>Spesifikasi Enhanced Tool Definition Interface (ETDI) dengan verifikasi identitas kriptografis, versi immutable, dan integrasi kebijakan Cedar/OPA untuk mitigasi tool squatting dan rug pull. Tanpa evaluasi empiris (L0).</t>
        </is>
      </c>
      <c r="AA26" s="11">
        <f>IF(I26="","",IF(OR(I26="attack",I26="survey_review",I26="benchmark_measurement",I26="position_other",I26="not_defense"),"n/a",IF(OR(X26="spec_normatif",X26="produksi_bukti_publik"),"L3",IF(ISNUMBER(SEARCH("independent",R26)),"L2",IF(R26="author_run","L1",IF(R26="none","L0",""))))))</f>
        <v/>
      </c>
      <c r="AB26" s="11">
        <f>IF(I26="","",IF(AND(K26="deterministic_policy",M26="ya"),"PERIKSA: deterministic_policy tetapi LLM/ML ada dalam keputusan. ","")&amp;IF(AND(U26="ya",V26=""),"PERIKSA: adaptif=ya wajib ada kutipan. ","")&amp;IF(AND(R26="none",U26&lt;&gt;"n/a_tanpa_evaluasi",U26&lt;&gt;""),"PERIKSA: tanpa evaluasi, adaptif harus n/a. ","")&amp;IF(AND(OR(R26="author_run",R26="author_run+independent",R26="independent_only"),Q26=""),"PERIKSA: isi kelas_dievaluasi. ","")&amp;IF(AND(OR(R26="author_run",R26="author_run+independent",R26="independent_only"),W26=""),"PERIKSA: isi lokasi_bukti. ","")&amp;IF(AND(H26="tidak",R26&lt;&gt;""),"PERIKSA: tanpa teks lengkap, kosongkan kolom evaluasi. ",""))</f>
        <v/>
      </c>
      <c r="AC26" t="inlineStr">
        <is>
          <t>include</t>
        </is>
      </c>
    </row>
    <row r="27" ht="23.25" customHeight="1" s="21">
      <c r="A27" s="8" t="inlineStr">
        <is>
          <t>mirza-2026-stochastic-deputy-structural-tenant-isolation</t>
        </is>
      </c>
      <c r="B27" s="8" t="inlineStr">
        <is>
          <t>The Stochastic Deputy: Structural Tenant Isolation for Tool-Using LLM Agents</t>
        </is>
      </c>
      <c r="C27" s="8" t="n">
        <v>2026</v>
      </c>
      <c r="D27" s="8" t="inlineStr">
        <is>
          <t>E2</t>
        </is>
      </c>
      <c r="E27" s="8" t="inlineStr">
        <is>
          <t>kandidat_agent</t>
        </is>
      </c>
      <c r="F27" s="8" t="inlineStr">
        <is>
          <t>primary</t>
        </is>
      </c>
      <c r="G27" s="9" t="inlineStr">
        <is>
          <t>https://arxiv.org/abs/2609.14780</t>
        </is>
      </c>
      <c r="H27" s="10" t="inlineStr">
        <is>
          <t>ya</t>
        </is>
      </c>
      <c r="I27" s="10" t="inlineStr">
        <is>
          <t>defense_primary</t>
        </is>
      </c>
      <c r="J27" s="10" t="inlineStr">
        <is>
          <t>Structural Tenant Isolation</t>
        </is>
      </c>
      <c r="K27" s="10" t="inlineStr">
        <is>
          <t>deterministic_policy</t>
        </is>
      </c>
      <c r="L27" s="10" t="inlineStr">
        <is>
          <t>Pertahanan struktural terhadap masalah stochastic deputy dengan menghapus parameter tenant dari skema tool MCP dan menegakkan isolasi tenant di bawah agen melalui credential binding dan query rewriting.</t>
        </is>
      </c>
      <c r="M27" s="10" t="inlineStr">
        <is>
          <t>tidak</t>
        </is>
      </c>
      <c r="N27" s="10" t="inlineStr">
        <is>
          <t>S</t>
        </is>
      </c>
      <c r="O27" s="10" t="inlineStr">
        <is>
          <t>R3;R5</t>
        </is>
      </c>
      <c r="P27" s="10" t="inlineStr">
        <is>
          <t>C1;C2;D1</t>
        </is>
      </c>
      <c r="Q27" s="10" t="inlineStr">
        <is>
          <t>C1;C2;D1</t>
        </is>
      </c>
      <c r="R27" s="10" t="inlineStr">
        <is>
          <t>author_run</t>
        </is>
      </c>
      <c r="S27" s="10" t="n"/>
      <c r="T27" s="10" t="inlineStr">
        <is>
          <t>authors_own</t>
        </is>
      </c>
      <c r="U27" s="10" t="inlineStr">
        <is>
          <t>tidak</t>
        </is>
      </c>
      <c r="V27" s="10" t="n"/>
      <c r="W27" s="10" t="inlineStr">
        <is>
          <t>Sec 8; Sec 8.1; Table 1; Table 2; hal. 8-15</t>
        </is>
      </c>
      <c r="X27" s="10" t="inlineStr">
        <is>
          <t>none</t>
        </is>
      </c>
      <c r="Y27" s="10" t="inlineStr">
        <is>
          <t>latensi dan rasio optimasi query MySQL dilaporkan (Sec 8, RQ2)</t>
        </is>
      </c>
      <c r="Z27" s="10" t="inlineStr">
        <is>
          <t>Pertahanan isolasi multi-tenant struktural (structural tenant isolation) terhadap masalah stochastic deputy dengan menghapus parameter tenant dari skema tool MCP dan mengikat lingkup pada kredensial terverifikasi. Dievaluasi pada 373 uji lintas 8 LLM dan basis data MySQL multi-GB. Catatan deployment: prototipe internal/eksperimental (belum dirilis secara publik).</t>
        </is>
      </c>
      <c r="AA27" s="11">
        <f>IF(I27="","",IF(OR(I27="attack",I27="survey_review",I27="benchmark_measurement",I27="position_other",I27="not_defense"),"n/a",IF(OR(X27="spec_normatif",X27="produksi_bukti_publik"),"L3",IF(ISNUMBER(SEARCH("independent",R27)),"L2",IF(R27="author_run","L1",IF(R27="none","L0",""))))))</f>
        <v/>
      </c>
      <c r="AB27" s="11">
        <f>IF(I27="","",IF(AND(K27="deterministic_policy",M27="ya"),"PERIKSA: deterministic_policy tetapi LLM/ML ada dalam keputusan. ","")&amp;IF(AND(U27="ya",V27=""),"PERIKSA: adaptif=ya wajib ada kutipan. ","")&amp;IF(AND(R27="none",U27&lt;&gt;"n/a_tanpa_evaluasi",U27&lt;&gt;""),"PERIKSA: tanpa evaluasi, adaptif harus n/a. ","")&amp;IF(AND(OR(R27="author_run",R27="author_run+independent",R27="independent_only"),Q27=""),"PERIKSA: isi kelas_dievaluasi. ","")&amp;IF(AND(OR(R27="author_run",R27="author_run+independent",R27="independent_only"),W27=""),"PERIKSA: isi lokasi_bukti. ","")&amp;IF(AND(H27="tidak",R27&lt;&gt;""),"PERIKSA: tanpa teks lengkap, kosongkan kolom evaluasi. ",""))</f>
        <v/>
      </c>
      <c r="AC27" t="inlineStr">
        <is>
          <t>include</t>
        </is>
      </c>
    </row>
    <row r="28" ht="34.5" customHeight="1" s="21">
      <c r="A28" s="8" t="inlineStr">
        <is>
          <t>nirajan-2026-formal-security-framework-mcp-based</t>
        </is>
      </c>
      <c r="B28" s="8" t="inlineStr">
        <is>
          <t>A Formal Security Framework for MCP-Based AI Agents: Threat Taxonomy, Verification Models, and Defense Mechanisms</t>
        </is>
      </c>
      <c r="C28" s="8" t="n">
        <v>2026</v>
      </c>
      <c r="D28" s="8" t="inlineStr">
        <is>
          <t>E2</t>
        </is>
      </c>
      <c r="E28" s="8" t="inlineStr">
        <is>
          <t>kandidat_agent</t>
        </is>
      </c>
      <c r="F28" s="8" t="inlineStr">
        <is>
          <t>primary</t>
        </is>
      </c>
      <c r="G28" s="9" t="inlineStr">
        <is>
          <t>https://arxiv.org/abs/2604.05969</t>
        </is>
      </c>
      <c r="H28" s="10" t="inlineStr">
        <is>
          <t>ya</t>
        </is>
      </c>
      <c r="I28" s="10" t="inlineStr">
        <is>
          <t>proposal_only</t>
        </is>
      </c>
      <c r="J28" s="10" t="inlineStr">
        <is>
          <t>MCPSHIELD</t>
        </is>
      </c>
      <c r="K28" s="10" t="inlineStr">
        <is>
          <t>protocol_provision</t>
        </is>
      </c>
      <c r="L28" s="10" t="inlineStr">
        <is>
          <t>Kerangka formal dan arsitektur defense-in-depth empat lapis (MCPSHIELD) berbasis model verifikasi formal Labeled Transition Systems untuk mengamankan ekosistem agen MCP.</t>
        </is>
      </c>
      <c r="M28" s="10" t="inlineStr">
        <is>
          <t>tidak</t>
        </is>
      </c>
      <c r="N28" s="10" t="inlineStr">
        <is>
          <t>gateway_proxy</t>
        </is>
      </c>
      <c r="O28" s="10" t="inlineStr">
        <is>
          <t>R1;R2;R3;R4;R5;R6;R7</t>
        </is>
      </c>
      <c r="P28" s="10" t="inlineStr">
        <is>
          <t>A1;A2;B1;B2;C1;C3;C5;D1;D3</t>
        </is>
      </c>
      <c r="Q28" s="10" t="n"/>
      <c r="R28" s="10" t="inlineStr">
        <is>
          <t>none</t>
        </is>
      </c>
      <c r="S28" s="10" t="n"/>
      <c r="T28" s="10" t="inlineStr">
        <is>
          <t>none</t>
        </is>
      </c>
      <c r="U28" s="10" t="inlineStr">
        <is>
          <t>n/a_tanpa_evaluasi</t>
        </is>
      </c>
      <c r="V28" s="10" t="n"/>
      <c r="W28" s="10" t="n"/>
      <c r="X28" s="10" t="inlineStr">
        <is>
          <t>none</t>
        </is>
      </c>
      <c r="Y28" s="10" t="inlineStr">
        <is>
          <t>not_reported</t>
        </is>
      </c>
      <c r="Z28" s="10" t="inlineStr">
        <is>
          <t>Kerangka keamanan formal dan arsitektur defense-in-depth berlapis (MCPSHIELD) berbasis model verifikasi formal Labeled Transition Systems (LTS). Tidak menyertakan evaluasi empiris pertahanan terhadap serangan. KODER 1 menandai defense_primary dengan jenis_evaluasi none (L0).</t>
        </is>
      </c>
      <c r="AA28" s="11">
        <f>IF(I28="","",IF(OR(I28="attack",I28="survey_review",I28="benchmark_measurement",I28="position_other",I28="not_defense"),"n/a",IF(OR(X28="spec_normatif",X28="produksi_bukti_publik"),"L3",IF(ISNUMBER(SEARCH("independent",R28)),"L2",IF(R28="author_run","L1",IF(R28="none","L0",""))))))</f>
        <v/>
      </c>
      <c r="AB28" s="11">
        <f>IF(I28="","",IF(AND(K28="deterministic_policy",M28="ya"),"PERIKSA: deterministic_policy tetapi LLM/ML ada dalam keputusan. ","")&amp;IF(AND(U28="ya",V28=""),"PERIKSA: adaptif=ya wajib ada kutipan. ","")&amp;IF(AND(R28="none",U28&lt;&gt;"n/a_tanpa_evaluasi",U28&lt;&gt;""),"PERIKSA: tanpa evaluasi, adaptif harus n/a. ","")&amp;IF(AND(OR(R28="author_run",R28="author_run+independent",R28="independent_only"),Q28=""),"PERIKSA: isi kelas_dievaluasi. ","")&amp;IF(AND(OR(R28="author_run",R28="author_run+independent",R28="independent_only"),W28=""),"PERIKSA: isi lokasi_bukti. ","")&amp;IF(AND(H28="tidak",R28&lt;&gt;""),"PERIKSA: tanpa teks lengkap, kosongkan kolom evaluasi. ",""))</f>
        <v/>
      </c>
      <c r="AC28" t="inlineStr">
        <is>
          <t>include</t>
        </is>
      </c>
    </row>
    <row r="29" ht="23.25" customHeight="1" s="21">
      <c r="A29" s="8" t="inlineStr">
        <is>
          <t>parya-2026-mcp-scanner-detecting-security-risks</t>
        </is>
      </c>
      <c r="B29" s="8" t="inlineStr">
        <is>
          <t>MCP-Scanner: Detecting Security Risks in Model Context Protocol Systems</t>
        </is>
      </c>
      <c r="C29" s="8" t="n">
        <v>2026</v>
      </c>
      <c r="D29" s="8" t="inlineStr">
        <is>
          <t>E1</t>
        </is>
      </c>
      <c r="E29" s="8" t="inlineStr">
        <is>
          <t>kandidat_agent</t>
        </is>
      </c>
      <c r="F29" s="8" t="inlineStr">
        <is>
          <t>primary</t>
        </is>
      </c>
      <c r="G29" s="9" t="inlineStr">
        <is>
          <t>https://doi.org/10.1145/3786160.3788471</t>
        </is>
      </c>
      <c r="H29" s="10" t="inlineStr">
        <is>
          <t>ya</t>
        </is>
      </c>
      <c r="I29" s="10" t="inlineStr">
        <is>
          <t>defense_primary</t>
        </is>
      </c>
      <c r="J29" s="10" t="inlineStr">
        <is>
          <t>MCP-Scanner (eSentire MCP-Scanner)</t>
        </is>
      </c>
      <c r="K29" s="10" t="inlineStr">
        <is>
          <t>content_inspection_static</t>
        </is>
      </c>
      <c r="L29" s="10" t="inlineStr">
        <is>
          <t>Pemindai komprehensif multi-layer (kata kunci, SentenceTransformer embeddings, dan LLM-as-judge) untuk memeriksa keamanan tools, prompts, dan resources server MCP.</t>
        </is>
      </c>
      <c r="M29" s="10" t="inlineStr">
        <is>
          <t>ya</t>
        </is>
      </c>
      <c r="N29" s="10" t="inlineStr">
        <is>
          <t>offline_analysis</t>
        </is>
      </c>
      <c r="O29" s="10" t="inlineStr">
        <is>
          <t>R1;R2;R3;R5;R7</t>
        </is>
      </c>
      <c r="P29" s="10" t="inlineStr">
        <is>
          <t>A1;A2;B2;C1;D3</t>
        </is>
      </c>
      <c r="Q29" s="10" t="inlineStr">
        <is>
          <t>A1;A2;D3</t>
        </is>
      </c>
      <c r="R29" s="10" t="inlineStr">
        <is>
          <t>author_run</t>
        </is>
      </c>
      <c r="S29" s="10" t="n"/>
      <c r="T29" s="10" t="inlineStr">
        <is>
          <t>mixed</t>
        </is>
      </c>
      <c r="U29" s="10" t="inlineStr">
        <is>
          <t>tidak</t>
        </is>
      </c>
      <c r="V29" s="10" t="n"/>
      <c r="W29" s="10" t="inlineStr">
        <is>
          <t>Sec. 6, Tabel 1 &amp; 2, hal. 6-8</t>
        </is>
      </c>
      <c r="X29" s="10" t="inlineStr">
        <is>
          <t>none</t>
        </is>
      </c>
      <c r="Y29" s="10" t="inlineStr">
        <is>
          <t>cakupan deteksi 13 kategori kerentanan pada 14 server MCP (Tabel 1 &amp; 2)</t>
        </is>
      </c>
      <c r="Z29" s="10" t="inlineStr">
        <is>
          <t>MCP-Scanner (defense_primary, L1). Evaluasi pemindaian statis AST/regex pada 14 server MCP (Tabel 2). Tabel 1 membandingkan 22 kategori kerentanan komparatif secara literatur (14 kategori diklaim terdeteksi oleh MCP-Scanner); tidak ada eksekusi eksperimen kuantitatif terhadap perkakas lain sehingga ditolak sebagai evaluator L2.</t>
        </is>
      </c>
      <c r="AA29" s="11">
        <f>IF(I29="","",IF(OR(I29="attack",I29="survey_review",I29="benchmark_measurement",I29="position_other",I29="not_defense"),"n/a",IF(OR(X29="spec_normatif",X29="produksi_bukti_publik"),"L3",IF(ISNUMBER(SEARCH("independent",R29)),"L2",IF(R29="author_run","L1",IF(R29="none","L0",""))))))</f>
        <v/>
      </c>
      <c r="AB29" s="11">
        <f>IF(I29="","",IF(AND(K29="deterministic_policy",M29="ya"),"PERIKSA: deterministic_policy tetapi LLM/ML ada dalam keputusan. ","")&amp;IF(AND(U29="ya",V29=""),"PERIKSA: adaptif=ya wajib ada kutipan. ","")&amp;IF(AND(R29="none",U29&lt;&gt;"n/a_tanpa_evaluasi",U29&lt;&gt;""),"PERIKSA: tanpa evaluasi, adaptif harus n/a. ","")&amp;IF(AND(OR(R29="author_run",R29="author_run+independent",R29="independent_only"),Q29=""),"PERIKSA: isi kelas_dievaluasi. ","")&amp;IF(AND(OR(R29="author_run",R29="author_run+independent",R29="independent_only"),W29=""),"PERIKSA: isi lokasi_bukti. ","")&amp;IF(AND(H29="tidak",R29&lt;&gt;""),"PERIKSA: tanpa teks lengkap, kosongkan kolom evaluasi. ",""))</f>
        <v/>
      </c>
      <c r="AC29" t="inlineStr">
        <is>
          <t>include</t>
        </is>
      </c>
    </row>
    <row r="30" ht="23.25" customHeight="1" s="21">
      <c r="A30" s="8" t="inlineStr">
        <is>
          <t>pek-2026-cascade-component-ablation-corpus-audit</t>
        </is>
      </c>
      <c r="B30" s="8" t="inlineStr">
        <is>
          <t>CASCADE: A Component Ablation and Corpus Audit of a Layered Local Defense for MCP-Based Systems</t>
        </is>
      </c>
      <c r="C30" s="8" t="n">
        <v>2026</v>
      </c>
      <c r="D30" s="8" t="inlineStr">
        <is>
          <t>E2</t>
        </is>
      </c>
      <c r="E30" s="8" t="inlineStr">
        <is>
          <t>kandidat_agent</t>
        </is>
      </c>
      <c r="F30" s="8" t="inlineStr">
        <is>
          <t>primary</t>
        </is>
      </c>
      <c r="G30" s="9" t="inlineStr">
        <is>
          <t>https://arxiv.org/abs/2604.17125</t>
        </is>
      </c>
      <c r="H30" s="10" t="inlineStr">
        <is>
          <t>ya</t>
        </is>
      </c>
      <c r="I30" s="10" t="inlineStr">
        <is>
          <t>defense_primary</t>
        </is>
      </c>
      <c r="J30" s="10" t="inlineStr">
        <is>
          <t>CASCADE</t>
        </is>
      </c>
      <c r="K30" s="10" t="inlineStr">
        <is>
          <t>content_inspection_runtime</t>
        </is>
      </c>
      <c r="L30" s="10" t="inlineStr">
        <is>
          <t>Pertahanan berlapis lokal untuk sistem MCP yang memadukan filter kemiripan embedding cepat dan model review lokal Llama-3 8B untuk menangani permintaan ambigu/mencurigakan.</t>
        </is>
      </c>
      <c r="M30" s="10" t="inlineStr">
        <is>
          <t>ya</t>
        </is>
      </c>
      <c r="N30" s="10" t="inlineStr">
        <is>
          <t>H</t>
        </is>
      </c>
      <c r="O30" s="10" t="inlineStr">
        <is>
          <t>R2</t>
        </is>
      </c>
      <c r="P30" s="10" t="inlineStr">
        <is>
          <t>A1;A2</t>
        </is>
      </c>
      <c r="Q30" s="10" t="inlineStr">
        <is>
          <t>A1;A2</t>
        </is>
      </c>
      <c r="R30" s="10" t="inlineStr">
        <is>
          <t>author_run</t>
        </is>
      </c>
      <c r="S30" s="10" t="n"/>
      <c r="T30" s="10" t="inlineStr">
        <is>
          <t>mixed</t>
        </is>
      </c>
      <c r="U30" s="10" t="inlineStr">
        <is>
          <t>tidak</t>
        </is>
      </c>
      <c r="V30" s="10" t="n"/>
      <c r="W30" s="10" t="inlineStr">
        <is>
          <t>Sec 4; Sec 4.1; Sec 4.2; Table 5; Table 6; hal. 8-15</t>
        </is>
      </c>
      <c r="X30" s="10" t="inlineStr">
        <is>
          <t>none</t>
        </is>
      </c>
      <c r="Y30" s="10" t="inlineStr">
        <is>
          <t>latensi per tahap, throughput, dan tingkat pemanggilan model review (32.56%) dilaporkan (Sec 4)</t>
        </is>
      </c>
      <c r="Z30" s="10" t="inlineStr">
        <is>
          <t>Pertahanan berlapis lokal untuk sistem MCP (CASCADE) memadukan embedding filter deterministik dan model review lokal Llama-3 8B. Dievaluasi secara ketat pada 5.000 sampel korpus riil/augmentasi dengan ablasi komponen menyeluruh. Catatan deployment: prototipe internal/eksperimental (belum dirilis secara publik).</t>
        </is>
      </c>
      <c r="AA30" s="11">
        <f>IF(I30="","",IF(OR(I30="attack",I30="survey_review",I30="benchmark_measurement",I30="position_other",I30="not_defense"),"n/a",IF(OR(X30="spec_normatif",X30="produksi_bukti_publik"),"L3",IF(ISNUMBER(SEARCH("independent",R30)),"L2",IF(R30="author_run","L1",IF(R30="none","L0",""))))))</f>
        <v/>
      </c>
      <c r="AB30" s="11">
        <f>IF(I30="","",IF(AND(K30="deterministic_policy",M30="ya"),"PERIKSA: deterministic_policy tetapi LLM/ML ada dalam keputusan. ","")&amp;IF(AND(U30="ya",V30=""),"PERIKSA: adaptif=ya wajib ada kutipan. ","")&amp;IF(AND(R30="none",U30&lt;&gt;"n/a_tanpa_evaluasi",U30&lt;&gt;""),"PERIKSA: tanpa evaluasi, adaptif harus n/a. ","")&amp;IF(AND(OR(R30="author_run",R30="author_run+independent",R30="independent_only"),Q30=""),"PERIKSA: isi kelas_dievaluasi. ","")&amp;IF(AND(OR(R30="author_run",R30="author_run+independent",R30="independent_only"),W30=""),"PERIKSA: isi lokasi_bukti. ","")&amp;IF(AND(H30="tidak",R30&lt;&gt;""),"PERIKSA: tanpa teks lengkap, kosongkan kolom evaluasi. ",""))</f>
        <v/>
      </c>
      <c r="AC30" t="inlineStr">
        <is>
          <t>include</t>
        </is>
      </c>
    </row>
    <row r="31" ht="23.25" customHeight="1" s="21">
      <c r="A31" s="8" t="inlineStr">
        <is>
          <t>ping-2026-hybrid-analysis-secure-mcp-tool</t>
        </is>
      </c>
      <c r="B31" s="8" t="inlineStr">
        <is>
          <t>Hybrid Analysis for Secure MCP Tool Use in LLM Agents</t>
        </is>
      </c>
      <c r="C31" s="8" t="n">
        <v>2026</v>
      </c>
      <c r="D31" s="8" t="inlineStr">
        <is>
          <t>E2</t>
        </is>
      </c>
      <c r="E31" s="8" t="inlineStr">
        <is>
          <t>kandidat_agent</t>
        </is>
      </c>
      <c r="F31" s="8" t="inlineStr">
        <is>
          <t>primary</t>
        </is>
      </c>
      <c r="G31" s="9" t="inlineStr">
        <is>
          <t>https://arxiv.org/abs/2607.25297</t>
        </is>
      </c>
      <c r="H31" s="10" t="inlineStr">
        <is>
          <t>ya</t>
        </is>
      </c>
      <c r="I31" s="10" t="inlineStr">
        <is>
          <t>defense_primary</t>
        </is>
      </c>
      <c r="J31" s="10" t="inlineStr">
        <is>
          <t>MTGuard</t>
        </is>
      </c>
      <c r="K31" s="10" t="inlineStr">
        <is>
          <t>content_inspection_runtime</t>
        </is>
      </c>
      <c r="L31" s="10" t="inlineStr">
        <is>
          <t>Kerangka analisis hibrida siklus hidup (MTGuard) yang mengombinasikan asesmen risiko pra-eksekusi dan verifikasi hasil pasca-eksekusi pada pemanggilan tool MCP.</t>
        </is>
      </c>
      <c r="M31" s="10" t="inlineStr">
        <is>
          <t>ya</t>
        </is>
      </c>
      <c r="N31" s="10" t="inlineStr">
        <is>
          <t>H</t>
        </is>
      </c>
      <c r="O31" s="10" t="inlineStr">
        <is>
          <t>R2;R5</t>
        </is>
      </c>
      <c r="P31" s="10" t="inlineStr">
        <is>
          <t>A1;A2;C5</t>
        </is>
      </c>
      <c r="Q31" s="10" t="inlineStr">
        <is>
          <t>A1;A2;C5</t>
        </is>
      </c>
      <c r="R31" s="10" t="inlineStr">
        <is>
          <t>author_run</t>
        </is>
      </c>
      <c r="S31" s="10" t="n"/>
      <c r="T31" s="10" t="inlineStr">
        <is>
          <t>mixed</t>
        </is>
      </c>
      <c r="U31" s="10" t="inlineStr">
        <is>
          <t>tidak</t>
        </is>
      </c>
      <c r="V31" s="10" t="n"/>
      <c r="W31" s="10" t="inlineStr">
        <is>
          <t>Sec 5; Table 1; Table 2; Table 3; hal. 6-10</t>
        </is>
      </c>
      <c r="X31" s="10" t="inlineStr">
        <is>
          <t>none</t>
        </is>
      </c>
      <c r="Y31" s="10" t="inlineStr">
        <is>
          <t>latensi runtime dan false positive rate dilaporkan (Sec 5, Tabel 2)</t>
        </is>
      </c>
      <c r="Z31" s="10" t="inlineStr">
        <is>
          <t>Framework pertahanan analisis hibrida (MTGuard) yang mengombinasikan asesmen pra-eksekusi dan verifikasi pasca-eksekusi pemanggilan tool MCP. Dievaluasi pada agen otomatisasi peramban dan analisis finansial, mencapai rata-rata detection rate 48.3% vs baseline 8.3%. Catatan deployment: prototipe internal/eksperimental (belum dirilis secara publik).</t>
        </is>
      </c>
      <c r="AA31" s="11">
        <f>IF(I31="","",IF(OR(I31="attack",I31="survey_review",I31="benchmark_measurement",I31="position_other",I31="not_defense"),"n/a",IF(OR(X31="spec_normatif",X31="produksi_bukti_publik"),"L3",IF(ISNUMBER(SEARCH("independent",R31)),"L2",IF(R31="author_run","L1",IF(R31="none","L0",""))))))</f>
        <v/>
      </c>
      <c r="AB31" s="11">
        <f>IF(I31="","",IF(AND(K31="deterministic_policy",M31="ya"),"PERIKSA: deterministic_policy tetapi LLM/ML ada dalam keputusan. ","")&amp;IF(AND(U31="ya",V31=""),"PERIKSA: adaptif=ya wajib ada kutipan. ","")&amp;IF(AND(R31="none",U31&lt;&gt;"n/a_tanpa_evaluasi",U31&lt;&gt;""),"PERIKSA: tanpa evaluasi, adaptif harus n/a. ","")&amp;IF(AND(OR(R31="author_run",R31="author_run+independent",R31="independent_only"),Q31=""),"PERIKSA: isi kelas_dievaluasi. ","")&amp;IF(AND(OR(R31="author_run",R31="author_run+independent",R31="independent_only"),W31=""),"PERIKSA: isi lokasi_bukti. ","")&amp;IF(AND(H31="tidak",R31&lt;&gt;""),"PERIKSA: tanpa teks lengkap, kosongkan kolom evaluasi. ",""))</f>
        <v/>
      </c>
      <c r="AC31" t="inlineStr">
        <is>
          <t>include</t>
        </is>
      </c>
    </row>
    <row r="32" ht="34.5" customHeight="1" s="21">
      <c r="A32" s="8" t="inlineStr">
        <is>
          <t>samuel-2026-secure-sandbox-environment-orchestrating-medical</t>
        </is>
      </c>
      <c r="B32" s="8" t="inlineStr">
        <is>
          <t>A Secure Sandbox Environment for Orchestrating Medical AI Agents Using Model Context Protocols and Role-Based Access Control.</t>
        </is>
      </c>
      <c r="C32" s="8" t="n">
        <v>2026</v>
      </c>
      <c r="D32" s="8" t="inlineStr">
        <is>
          <t>E2</t>
        </is>
      </c>
      <c r="E32" s="8" t="inlineStr">
        <is>
          <t>kandidat_agent</t>
        </is>
      </c>
      <c r="F32" s="8" t="inlineStr">
        <is>
          <t>primary</t>
        </is>
      </c>
      <c r="G32" s="8" t="n"/>
      <c r="H32" s="10" t="inlineStr">
        <is>
          <t>tidak</t>
        </is>
      </c>
      <c r="I32" s="10" t="inlineStr">
        <is>
          <t>defense_primary</t>
        </is>
      </c>
      <c r="J32" s="10" t="inlineStr">
        <is>
          <t>Secure Sandbox Environment with RBAC</t>
        </is>
      </c>
      <c r="K32" s="10" t="inlineStr">
        <is>
          <t>deterministic_policy</t>
        </is>
      </c>
      <c r="L32" s="10" t="inlineStr">
        <is>
          <t>Lingkungan sandbox yang aman dan kontrol akses berbasis peran (RBAC) untuk mengorkestrasi agen AI medis yang berkomunikasi melalui Model Context Protocol.</t>
        </is>
      </c>
      <c r="M32" s="10" t="inlineStr">
        <is>
          <t>tidak</t>
        </is>
      </c>
      <c r="N32" s="10" t="inlineStr">
        <is>
          <t>gateway_proxy</t>
        </is>
      </c>
      <c r="O32" s="10" t="inlineStr">
        <is>
          <t>R2;R4;R5;R6</t>
        </is>
      </c>
      <c r="P32" s="10" t="inlineStr">
        <is>
          <t>A2;D1;C3</t>
        </is>
      </c>
      <c r="Q32" s="10" t="n"/>
      <c r="R32" s="10" t="n"/>
      <c r="S32" s="10" t="n"/>
      <c r="T32" s="10" t="n"/>
      <c r="U32" s="10" t="n"/>
      <c r="V32" s="10" t="n"/>
      <c r="W32" s="10" t="n"/>
      <c r="X32" s="10" t="n"/>
      <c r="Y32" s="10" t="n"/>
      <c r="Z32" s="10" t="inlineStr">
        <is>
          <t>[NON-OA / ABSTRACT-ONLY] Prosiding AMIA Joint Summits on Translational Science. Lingkungan sandbox dengan RBAC untuk alur kerja medis pada MCP (A2, D1, C3). Klaim default C1 dicabut.</t>
        </is>
      </c>
      <c r="AA32" s="11">
        <f>IF(I32="","",IF(OR(I32="attack",I32="survey_review",I32="benchmark_measurement",I32="position_other",I32="not_defense"),"n/a",IF(OR(X32="spec_normatif",X32="produksi_bukti_publik"),"L3",IF(ISNUMBER(SEARCH("independent",R32)),"L2",IF(R32="author_run","L1",IF(R32="none","L0",""))))))</f>
        <v/>
      </c>
      <c r="AB32" s="11">
        <f>IF(I32="","",IF(AND(K32="deterministic_policy",M32="ya"),"PERIKSA: deterministic_policy tetapi LLM/ML ada dalam keputusan. ","")&amp;IF(AND(U32="ya",V32=""),"PERIKSA: adaptif=ya wajib ada kutipan. ","")&amp;IF(AND(R32="none",U32&lt;&gt;"n/a_tanpa_evaluasi",U32&lt;&gt;""),"PERIKSA: tanpa evaluasi, adaptif harus n/a. ","")&amp;IF(AND(OR(R32="author_run",R32="author_run+independent",R32="independent_only"),Q32=""),"PERIKSA: isi kelas_dievaluasi. ","")&amp;IF(AND(OR(R32="author_run",R32="author_run+independent",R32="independent_only"),W32=""),"PERIKSA: isi lokasi_bukti. ","")&amp;IF(AND(H32="tidak",R32&lt;&gt;""),"PERIKSA: tanpa teks lengkap, kosongkan kolom evaluasi. ",""))</f>
        <v/>
      </c>
      <c r="AC32" t="inlineStr">
        <is>
          <t>include</t>
        </is>
      </c>
    </row>
    <row r="33" ht="23.25" customHeight="1" s="21">
      <c r="A33" s="12" t="inlineStr">
        <is>
          <t>shanshan-2026-runtime-policy-enforcement-mcp-based</t>
        </is>
      </c>
      <c r="B33" s="12" t="inlineStr">
        <is>
          <t>Runtime Policy Enforcement for MCP-Based LLM Agents</t>
        </is>
      </c>
      <c r="C33" s="12" t="n">
        <v>2026</v>
      </c>
      <c r="D33" s="12" t="inlineStr">
        <is>
          <t>E1</t>
        </is>
      </c>
      <c r="E33" s="12" t="inlineStr">
        <is>
          <t>kandidat_agent</t>
        </is>
      </c>
      <c r="F33" s="12" t="inlineStr">
        <is>
          <t>primary</t>
        </is>
      </c>
      <c r="G33" s="13" t="inlineStr">
        <is>
          <t>https://doi.org/10.3390/electronics15132829</t>
        </is>
      </c>
      <c r="H33" s="12" t="inlineStr">
        <is>
          <t>tidak</t>
        </is>
      </c>
      <c r="I33" s="12" t="inlineStr">
        <is>
          <t>not_defense</t>
        </is>
      </c>
      <c r="J33" s="12" t="n"/>
      <c r="K33" s="12" t="n"/>
      <c r="L33" s="12" t="n"/>
      <c r="M33" s="12" t="n"/>
      <c r="N33" s="12" t="n"/>
      <c r="O33" s="12" t="n"/>
      <c r="P33" s="12" t="n"/>
      <c r="Q33" s="12" t="n"/>
      <c r="R33" s="12" t="n"/>
      <c r="S33" s="12" t="n"/>
      <c r="T33" s="12" t="n"/>
      <c r="U33" s="12" t="n"/>
      <c r="V33" s="12" t="n"/>
      <c r="W33" s="12" t="n"/>
      <c r="X33" s="12" t="n"/>
      <c r="Y33" s="12" t="n"/>
      <c r="Z33" s="12" t="inlineStr">
        <is>
          <t>[AUDIT_v5_EXCLUDE: EC2] Dikeluarkan dari korpus MCP-spesifik oleh audit reviewer kedua v5. (dikeluarkan setelah audit reviewer kedua + rekonsiliasi)</t>
        </is>
      </c>
      <c r="AA33" s="12">
        <f>IF(I33="","",IF(OR(I33="attack",I33="survey_review",I33="benchmark_measurement",I33="position_other",I33="not_defense"),"n/a",IF(OR(X33="spec_normatif",X33="produksi_bukti_publik"),"L3",IF(ISNUMBER(SEARCH("independent",R33)),"L2",IF(R33="author_run","L1",IF(R33="none","L0",""))))))</f>
        <v/>
      </c>
      <c r="AB33" s="12">
        <f>IF(I33="","",IF(AND(K33="deterministic_policy",M33="ya"),"PERIKSA: deterministic_policy tetapi LLM/ML ada dalam keputusan. ","")&amp;IF(AND(U33="ya",V33=""),"PERIKSA: adaptif=ya wajib ada kutipan. ","")&amp;IF(AND(R33="none",U33&lt;&gt;"n/a_tanpa_evaluasi",U33&lt;&gt;""),"PERIKSA: tanpa evaluasi, adaptif harus n/a. ","")&amp;IF(AND(OR(R33="author_run",R33="author_run+independent",R33="independent_only"),Q33=""),"PERIKSA: isi kelas_dievaluasi. ","")&amp;IF(AND(OR(R33="author_run",R33="author_run+independent",R33="independent_only"),W33=""),"PERIKSA: isi lokasi_bukti. ","")&amp;IF(AND(H33="tidak",R33&lt;&gt;""),"PERIKSA: tanpa teks lengkap, kosongkan kolom evaluasi. ",""))</f>
        <v/>
      </c>
      <c r="AC33" s="14" t="inlineStr">
        <is>
          <t>exclude</t>
        </is>
      </c>
      <c r="AD33" s="14" t="inlineStr">
        <is>
          <t>EC2</t>
        </is>
      </c>
      <c r="AE33" s="14" t="inlineStr">
        <is>
          <t>dikeluarkan setelah audit reviewer kedua + rekonsiliasi</t>
        </is>
      </c>
    </row>
    <row r="34" ht="23.25" customHeight="1" s="21">
      <c r="A34" s="8" t="inlineStr">
        <is>
          <t>shiqiang-2025-secure-model-context-protocol-large</t>
        </is>
      </c>
      <c r="B34" s="8" t="inlineStr">
        <is>
          <t>Secure Model Context Protocol for Large Language Models with Dual Signatures</t>
        </is>
      </c>
      <c r="C34" s="8" t="n">
        <v>2025</v>
      </c>
      <c r="D34" s="8" t="inlineStr">
        <is>
          <t>E1</t>
        </is>
      </c>
      <c r="E34" s="8" t="inlineStr">
        <is>
          <t>kandidat_agent</t>
        </is>
      </c>
      <c r="F34" s="8" t="inlineStr">
        <is>
          <t>primary</t>
        </is>
      </c>
      <c r="G34" s="9" t="inlineStr">
        <is>
          <t>https://doi.org/10.1145/3737897.3767287</t>
        </is>
      </c>
      <c r="H34" s="10" t="inlineStr">
        <is>
          <t>ya</t>
        </is>
      </c>
      <c r="I34" s="10" t="inlineStr">
        <is>
          <t>defense_primary</t>
        </is>
      </c>
      <c r="J34" s="10" t="inlineStr">
        <is>
          <t>Dual Signature MCP</t>
        </is>
      </c>
      <c r="K34" s="10" t="inlineStr">
        <is>
          <t>integrity_provenance</t>
        </is>
      </c>
      <c r="L34" s="10" t="inlineStr">
        <is>
          <t>Mekanisme verifikasi tanda tangan digital ganda (developer dan platform tepercaya) pada metadata tool dan berkas server MCP untuk mencegah tampering dan tool poisoning.</t>
        </is>
      </c>
      <c r="M34" s="10" t="inlineStr">
        <is>
          <t>tidak</t>
        </is>
      </c>
      <c r="N34" s="10" t="inlineStr">
        <is>
          <t>C</t>
        </is>
      </c>
      <c r="O34" s="10" t="inlineStr">
        <is>
          <t>R1;R2;R7</t>
        </is>
      </c>
      <c r="P34" s="10" t="inlineStr">
        <is>
          <t>A1;B1;D3</t>
        </is>
      </c>
      <c r="Q34" s="10" t="inlineStr">
        <is>
          <t>A1;B1;D3</t>
        </is>
      </c>
      <c r="R34" s="10" t="inlineStr">
        <is>
          <t>author_run</t>
        </is>
      </c>
      <c r="S34" s="10" t="n"/>
      <c r="T34" s="10" t="inlineStr">
        <is>
          <t>authors_own</t>
        </is>
      </c>
      <c r="U34" s="10" t="inlineStr">
        <is>
          <t>tidak</t>
        </is>
      </c>
      <c r="V34" s="10" t="n"/>
      <c r="W34" s="10" t="inlineStr">
        <is>
          <t>Sec. 5, Tabel 1, hal. 4-5</t>
        </is>
      </c>
      <c r="X34" s="10" t="inlineStr">
        <is>
          <t>none</t>
        </is>
      </c>
      <c r="Y34" s="10" t="inlineStr">
        <is>
          <t>latensi eksekusi 28.9 ms (+2.6 ms vs standar 26.3 ms), overhead memori +1.84% (Tabel 1)</t>
        </is>
      </c>
      <c r="Z34" s="10" t="inlineStr">
        <is>
          <t>Dual Signature MCP (defense_primary, L1). Verifikasi tanda tangan ganda mencegah modifikasi kode/tampering server setelah registrasi (B1/D3) dan injeksi prompt tool Add (A1). Latensi +2.6 ms (Tabel 1).</t>
        </is>
      </c>
      <c r="AA34" s="11">
        <f>IF(I34="","",IF(OR(I34="attack",I34="survey_review",I34="benchmark_measurement",I34="position_other",I34="not_defense"),"n/a",IF(OR(X34="spec_normatif",X34="produksi_bukti_publik"),"L3",IF(ISNUMBER(SEARCH("independent",R34)),"L2",IF(R34="author_run","L1",IF(R34="none","L0",""))))))</f>
        <v/>
      </c>
      <c r="AB34" s="11">
        <f>IF(I34="","",IF(AND(K34="deterministic_policy",M34="ya"),"PERIKSA: deterministic_policy tetapi LLM/ML ada dalam keputusan. ","")&amp;IF(AND(U34="ya",V34=""),"PERIKSA: adaptif=ya wajib ada kutipan. ","")&amp;IF(AND(R34="none",U34&lt;&gt;"n/a_tanpa_evaluasi",U34&lt;&gt;""),"PERIKSA: tanpa evaluasi, adaptif harus n/a. ","")&amp;IF(AND(OR(R34="author_run",R34="author_run+independent",R34="independent_only"),Q34=""),"PERIKSA: isi kelas_dievaluasi. ","")&amp;IF(AND(OR(R34="author_run",R34="author_run+independent",R34="independent_only"),W34=""),"PERIKSA: isi lokasi_bukti. ","")&amp;IF(AND(H34="tidak",R34&lt;&gt;""),"PERIKSA: tanpa teks lengkap, kosongkan kolom evaluasi. ",""))</f>
        <v/>
      </c>
      <c r="AC34" t="inlineStr">
        <is>
          <t>include</t>
        </is>
      </c>
    </row>
    <row r="35" ht="23.25" customHeight="1" s="21">
      <c r="A35" s="8" t="inlineStr">
        <is>
          <t>shriti-2026-aegis-preventing-cross-domain-resource</t>
        </is>
      </c>
      <c r="B35" s="8" t="inlineStr">
        <is>
          <t>AEGIS: Preventing Cross-Domain Resource Abuse in MCP</t>
        </is>
      </c>
      <c r="C35" s="8" t="n">
        <v>2026</v>
      </c>
      <c r="D35" s="8" t="inlineStr">
        <is>
          <t>E2</t>
        </is>
      </c>
      <c r="E35" s="8" t="inlineStr">
        <is>
          <t>kandidat_agent</t>
        </is>
      </c>
      <c r="F35" s="8" t="inlineStr">
        <is>
          <t>primary</t>
        </is>
      </c>
      <c r="G35" s="9" t="inlineStr">
        <is>
          <t>https://arxiv.org/abs/2608.20481</t>
        </is>
      </c>
      <c r="H35" s="10" t="inlineStr">
        <is>
          <t>ya</t>
        </is>
      </c>
      <c r="I35" s="10" t="inlineStr">
        <is>
          <t>defense_primary</t>
        </is>
      </c>
      <c r="J35" s="10" t="inlineStr">
        <is>
          <t>AEGIS</t>
        </is>
      </c>
      <c r="K35" s="10" t="inlineStr">
        <is>
          <t>deterministic_policy</t>
        </is>
      </c>
      <c r="L35" s="10" t="inlineStr">
        <is>
          <t>Komponen penegakan kebijakan pada gateway AI (ContextForge + OPA) yang menormalisasi ontologi parameter tools dan membatasi pemanggilan berlebihan untuk mencegah abuse sumber daya.</t>
        </is>
      </c>
      <c r="M35" s="10" t="inlineStr">
        <is>
          <t>tidak</t>
        </is>
      </c>
      <c r="N35" s="10" t="inlineStr">
        <is>
          <t>gateway_proxy</t>
        </is>
      </c>
      <c r="O35" s="10" t="inlineStr">
        <is>
          <t>R2;R3</t>
        </is>
      </c>
      <c r="P35" s="10" t="inlineStr">
        <is>
          <t>OUT_OF_TAXONOMY:resource_abuse</t>
        </is>
      </c>
      <c r="Q35" s="10" t="inlineStr">
        <is>
          <t>OUT_OF_TAXONOMY:resource_abuse</t>
        </is>
      </c>
      <c r="R35" s="10" t="inlineStr">
        <is>
          <t>author_run</t>
        </is>
      </c>
      <c r="S35" s="10" t="n"/>
      <c r="T35" s="10" t="inlineStr">
        <is>
          <t>authors_own</t>
        </is>
      </c>
      <c r="U35" s="10" t="inlineStr">
        <is>
          <t>tidak</t>
        </is>
      </c>
      <c r="V35" s="10" t="n"/>
      <c r="W35" s="10" t="inlineStr">
        <is>
          <t>Sec. VII-C, Tabel III, hal. 5</t>
        </is>
      </c>
      <c r="X35" s="10" t="inlineStr">
        <is>
          <t>none</t>
        </is>
      </c>
      <c r="Y35" s="10" t="inlineStr">
        <is>
          <t>Throughput 30.03 req/s vs 1.34; p95 latency 2863 ms vs 15562 ms; mem max 387.7 MB; waktu 4.17s</t>
        </is>
      </c>
      <c r="Z35" s="10" t="inlineStr">
        <is>
          <t>AEGIS: Preventing Cross-Domain Resource Abuse in MCP (defense_primary, L1). Menggunakan ontologi tool dan ambang batas OPA untuk mencegah eksploitasi dan konsumsi sumber daya berlebih lintas server/modalitas (RQ2). Kode internal IBM mcp-context-forge. Catatan deployment: prototipe internal/eksperimental (belum dirilis secara publik).</t>
        </is>
      </c>
      <c r="AA35" s="11">
        <f>IF(I35="","",IF(OR(I35="attack",I35="survey_review",I35="benchmark_measurement",I35="position_other",I35="not_defense"),"n/a",IF(OR(X35="spec_normatif",X35="produksi_bukti_publik"),"L3",IF(ISNUMBER(SEARCH("independent",R35)),"L2",IF(R35="author_run","L1",IF(R35="none","L0",""))))))</f>
        <v/>
      </c>
      <c r="AB35" s="11">
        <f>IF(I35="","",IF(AND(K35="deterministic_policy",M35="ya"),"PERIKSA: deterministic_policy tetapi LLM/ML ada dalam keputusan. ","")&amp;IF(AND(U35="ya",V35=""),"PERIKSA: adaptif=ya wajib ada kutipan. ","")&amp;IF(AND(R35="none",U35&lt;&gt;"n/a_tanpa_evaluasi",U35&lt;&gt;""),"PERIKSA: tanpa evaluasi, adaptif harus n/a. ","")&amp;IF(AND(OR(R35="author_run",R35="author_run+independent",R35="independent_only"),Q35=""),"PERIKSA: isi kelas_dievaluasi. ","")&amp;IF(AND(OR(R35="author_run",R35="author_run+independent",R35="independent_only"),W35=""),"PERIKSA: isi lokasi_bukti. ","")&amp;IF(AND(H35="tidak",R35&lt;&gt;""),"PERIKSA: tanpa teks lengkap, kosongkan kolom evaluasi. ",""))</f>
        <v/>
      </c>
      <c r="AC35" t="inlineStr">
        <is>
          <t>include</t>
        </is>
      </c>
    </row>
    <row r="36" ht="34.5" customHeight="1" s="21">
      <c r="A36" s="8" t="inlineStr">
        <is>
          <t>suraj-2026-gateway-architecture-enterprise-mcp-authentication</t>
        </is>
      </c>
      <c r="B36" s="8" t="inlineStr">
        <is>
          <t>A Gateway Architecture for Enterprise MCP Authentication: Unifying Heterogeneous Auth, Identity Delegation, and the User / Non-User Persona Problem</t>
        </is>
      </c>
      <c r="C36" s="8" t="n">
        <v>2026</v>
      </c>
      <c r="D36" s="8" t="inlineStr">
        <is>
          <t>E2</t>
        </is>
      </c>
      <c r="E36" s="8" t="inlineStr">
        <is>
          <t>kandidat_agent</t>
        </is>
      </c>
      <c r="F36" s="8" t="inlineStr">
        <is>
          <t>primary</t>
        </is>
      </c>
      <c r="G36" s="9" t="inlineStr">
        <is>
          <t>https://arxiv.org/abs/2608.10760</t>
        </is>
      </c>
      <c r="H36" s="10" t="inlineStr">
        <is>
          <t>ya</t>
        </is>
      </c>
      <c r="I36" s="10" t="inlineStr">
        <is>
          <t>proposal_only</t>
        </is>
      </c>
      <c r="J36" s="10" t="inlineStr">
        <is>
          <t>Enterprise MCP Authentication Gateway</t>
        </is>
      </c>
      <c r="K36" s="10" t="inlineStr">
        <is>
          <t>deterministic_policy</t>
        </is>
      </c>
      <c r="L36" s="10" t="inlineStr">
        <is>
          <t>Arsitektur gateway terpusat yang menerapkan model autentikasi dua sumbu (persona x kredensial), delegasi identitas OAuth/SSO, dan pengecekan akses service-account untuk mencegah confused deputy pada MCP enterprise.</t>
        </is>
      </c>
      <c r="M36" s="10" t="inlineStr">
        <is>
          <t>tidak</t>
        </is>
      </c>
      <c r="N36" s="10" t="inlineStr">
        <is>
          <t>gateway_proxy</t>
        </is>
      </c>
      <c r="O36" s="10" t="inlineStr">
        <is>
          <t>R1;R2;R3</t>
        </is>
      </c>
      <c r="P36" s="10" t="inlineStr">
        <is>
          <t>C1;C3;A3</t>
        </is>
      </c>
      <c r="Q36" s="10" t="n"/>
      <c r="R36" s="10" t="inlineStr">
        <is>
          <t>none</t>
        </is>
      </c>
      <c r="S36" s="10" t="n"/>
      <c r="T36" s="10" t="inlineStr">
        <is>
          <t>none</t>
        </is>
      </c>
      <c r="U36" s="10" t="inlineStr">
        <is>
          <t>n/a_tanpa_evaluasi</t>
        </is>
      </c>
      <c r="V36" s="10" t="n"/>
      <c r="W36" s="10" t="inlineStr">
        <is>
          <t>Sec. 4-7, hal. 3-8</t>
        </is>
      </c>
      <c r="X36" s="10" t="inlineStr">
        <is>
          <t>none</t>
        </is>
      </c>
      <c r="Y36" s="10" t="inlineStr">
        <is>
          <t>not_reported</t>
        </is>
      </c>
      <c r="Z36" s="10" t="inlineStr">
        <is>
          <t>Makalah industry track (arXiv:2608.10760) mendokumentasikan arsitektur gateway autentikasi MCP di lingkungan internal PayPal. Tanpa evaluasi empiris pertahanan terhadap dataset serangan, dan tanpa dokumentasi rilis produk publik bertanggal mandiri, sehingga deployment dikode none (L0).</t>
        </is>
      </c>
      <c r="AA36" s="11">
        <f>IF(I36="","",IF(OR(I36="attack",I36="survey_review",I36="benchmark_measurement",I36="position_other",I36="not_defense"),"n/a",IF(OR(X36="spec_normatif",X36="produksi_bukti_publik"),"L3",IF(ISNUMBER(SEARCH("independent",R36)),"L2",IF(R36="author_run","L1",IF(R36="none","L0",""))))))</f>
        <v/>
      </c>
      <c r="AB36" s="11">
        <f>IF(I36="","",IF(AND(K36="deterministic_policy",M36="ya"),"PERIKSA: deterministic_policy tetapi LLM/ML ada dalam keputusan. ","")&amp;IF(AND(U36="ya",V36=""),"PERIKSA: adaptif=ya wajib ada kutipan. ","")&amp;IF(AND(R36="none",U36&lt;&gt;"n/a_tanpa_evaluasi",U36&lt;&gt;""),"PERIKSA: tanpa evaluasi, adaptif harus n/a. ","")&amp;IF(AND(OR(R36="author_run",R36="author_run+independent",R36="independent_only"),Q36=""),"PERIKSA: isi kelas_dievaluasi. ","")&amp;IF(AND(OR(R36="author_run",R36="author_run+independent",R36="independent_only"),W36=""),"PERIKSA: isi lokasi_bukti. ","")&amp;IF(AND(H36="tidak",R36&lt;&gt;""),"PERIKSA: tanpa teks lengkap, kosongkan kolom evaluasi. ",""))</f>
        <v/>
      </c>
      <c r="AC36" t="inlineStr">
        <is>
          <t>include</t>
        </is>
      </c>
    </row>
    <row r="37" ht="23.25" customHeight="1" s="21">
      <c r="A37" s="8" t="inlineStr">
        <is>
          <t>tobias-2026-machine-learning-based-detection-mcp</t>
        </is>
      </c>
      <c r="B37" s="8" t="inlineStr">
        <is>
          <t>Machine Learning-Based Detection of MCP Attacks</t>
        </is>
      </c>
      <c r="C37" s="8" t="n">
        <v>2026</v>
      </c>
      <c r="D37" s="8" t="inlineStr">
        <is>
          <t>E2</t>
        </is>
      </c>
      <c r="E37" s="8" t="inlineStr">
        <is>
          <t>kandidat_agent</t>
        </is>
      </c>
      <c r="F37" s="8" t="inlineStr">
        <is>
          <t>primary</t>
        </is>
      </c>
      <c r="G37" s="9" t="inlineStr">
        <is>
          <t>https://arxiv.org/abs/2604.10534</t>
        </is>
      </c>
      <c r="H37" s="10" t="inlineStr">
        <is>
          <t>ya</t>
        </is>
      </c>
      <c r="I37" s="10" t="inlineStr">
        <is>
          <t>defense_primary</t>
        </is>
      </c>
      <c r="J37" s="10" t="inlineStr">
        <is>
          <t>MCP ML-Based Attack Detector</t>
        </is>
      </c>
      <c r="K37" s="10" t="inlineStr">
        <is>
          <t>content_inspection_runtime</t>
        </is>
      </c>
      <c r="L37" s="10" t="inlineStr">
        <is>
          <t>Middleware deteksi berbasis machine learning terawasi (BERT, BiLSTM, SVC) yang menginspeksi deskripsi tool MCP sebelum eksekusi untuk mengidentifikasi dan memblokir tool poisoning.</t>
        </is>
      </c>
      <c r="M37" s="10" t="inlineStr">
        <is>
          <t>tidak</t>
        </is>
      </c>
      <c r="N37" s="10" t="inlineStr">
        <is>
          <t>gateway_proxy</t>
        </is>
      </c>
      <c r="O37" s="10" t="inlineStr">
        <is>
          <t>R2;R3</t>
        </is>
      </c>
      <c r="P37" s="10" t="inlineStr">
        <is>
          <t>A1;B1</t>
        </is>
      </c>
      <c r="Q37" s="10" t="inlineStr">
        <is>
          <t>A1</t>
        </is>
      </c>
      <c r="R37" s="10" t="inlineStr">
        <is>
          <t>author_run</t>
        </is>
      </c>
      <c r="S37" s="10" t="n"/>
      <c r="T37" s="10" t="inlineStr">
        <is>
          <t>third_party_public</t>
        </is>
      </c>
      <c r="U37" s="10" t="inlineStr">
        <is>
          <t>tidak</t>
        </is>
      </c>
      <c r="V37" s="10" t="n"/>
      <c r="W37" s="10" t="inlineStr">
        <is>
          <t>Sec. 4, Tabel 4, hal. 7-10</t>
        </is>
      </c>
      <c r="X37" s="10" t="inlineStr">
        <is>
          <t>none</t>
        </is>
      </c>
      <c r="Y37" s="10" t="inlineStr">
        <is>
          <t>Confusion matrix, F1 100% biner, multiclass SVC 90.56% dan BERT 88.33%</t>
        </is>
      </c>
      <c r="Z37" s="10" t="inlineStr">
        <is>
          <t>KODER 1 menandai teks lengkap. Model supervised ML (SVC, BERT, BiLSTM) dievaluasi pada dataset publik MCP-Tox; tanpa pengujian penyerang adaptif. Catatan deployment: prototipe internal/eksperimental (belum dirilis secara publik).</t>
        </is>
      </c>
      <c r="AA37" s="11">
        <f>IF(I37="","",IF(OR(I37="attack",I37="survey_review",I37="benchmark_measurement",I37="position_other",I37="not_defense"),"n/a",IF(OR(X37="spec_normatif",X37="produksi_bukti_publik"),"L3",IF(ISNUMBER(SEARCH("independent",R37)),"L2",IF(R37="author_run","L1",IF(R37="none","L0",""))))))</f>
        <v/>
      </c>
      <c r="AB37" s="11">
        <f>IF(I37="","",IF(AND(K37="deterministic_policy",M37="ya"),"PERIKSA: deterministic_policy tetapi LLM/ML ada dalam keputusan. ","")&amp;IF(AND(U37="ya",V37=""),"PERIKSA: adaptif=ya wajib ada kutipan. ","")&amp;IF(AND(R37="none",U37&lt;&gt;"n/a_tanpa_evaluasi",U37&lt;&gt;""),"PERIKSA: tanpa evaluasi, adaptif harus n/a. ","")&amp;IF(AND(OR(R37="author_run",R37="author_run+independent",R37="independent_only"),Q37=""),"PERIKSA: isi kelas_dievaluasi. ","")&amp;IF(AND(OR(R37="author_run",R37="author_run+independent",R37="independent_only"),W37=""),"PERIKSA: isi lokasi_bukti. ","")&amp;IF(AND(H37="tidak",R37&lt;&gt;""),"PERIKSA: tanpa teks lengkap, kosongkan kolom evaluasi. ",""))</f>
        <v/>
      </c>
      <c r="AC37" t="inlineStr">
        <is>
          <t>include</t>
        </is>
      </c>
    </row>
    <row r="38" ht="34.5" customHeight="1" s="21">
      <c r="A38" s="12" t="inlineStr">
        <is>
          <t>varun-2026-superlocalmemory-privacy-preserving-multi-agent</t>
        </is>
      </c>
      <c r="B38" s="12" t="inlineStr">
        <is>
          <t>SuperLocalMemory: Privacy-Preserving Multi-Agent Memory with Bayesian Trust Defense Against Memory Poisoning</t>
        </is>
      </c>
      <c r="C38" s="12" t="n">
        <v>2026</v>
      </c>
      <c r="D38" s="12" t="inlineStr">
        <is>
          <t>E2</t>
        </is>
      </c>
      <c r="E38" s="12" t="inlineStr">
        <is>
          <t>kandidat_agent</t>
        </is>
      </c>
      <c r="F38" s="12" t="inlineStr">
        <is>
          <t>primary</t>
        </is>
      </c>
      <c r="G38" s="13" t="inlineStr">
        <is>
          <t>https://arxiv.org/abs/2603.02240</t>
        </is>
      </c>
      <c r="H38" s="12" t="inlineStr">
        <is>
          <t>tidak</t>
        </is>
      </c>
      <c r="I38" s="12" t="inlineStr">
        <is>
          <t>not_defense</t>
        </is>
      </c>
      <c r="J38" s="12" t="n"/>
      <c r="K38" s="12" t="n"/>
      <c r="L38" s="12" t="n"/>
      <c r="M38" s="12" t="n"/>
      <c r="N38" s="12" t="n"/>
      <c r="O38" s="12" t="n"/>
      <c r="P38" s="12" t="n"/>
      <c r="Q38" s="12" t="n"/>
      <c r="R38" s="12" t="n"/>
      <c r="S38" s="12" t="n"/>
      <c r="T38" s="12" t="n"/>
      <c r="U38" s="12" t="n"/>
      <c r="V38" s="12" t="n"/>
      <c r="W38" s="12" t="n"/>
      <c r="X38" s="12" t="n"/>
      <c r="Y38" s="12" t="n"/>
      <c r="Z38" s="12" t="inlineStr">
        <is>
          <t>[AUDIT_v5_EXCLUDE: EC2] Dikeluarkan dari korpus MCP-spesifik oleh audit reviewer kedua v5. (audit lanjutan; diterima koordinator)</t>
        </is>
      </c>
      <c r="AA38" s="12">
        <f>IF(I38="","",IF(OR(I38="attack",I38="survey_review",I38="benchmark_measurement",I38="position_other",I38="not_defense"),"n/a",IF(OR(X38="spec_normatif",X38="produksi_bukti_publik"),"L3",IF(ISNUMBER(SEARCH("independent",R38)),"L2",IF(R38="author_run","L1",IF(R38="none","L0",""))))))</f>
        <v/>
      </c>
      <c r="AB38" s="12">
        <f>IF(I38="","",IF(AND(K38="deterministic_policy",M38="ya"),"PERIKSA: deterministic_policy tetapi LLM/ML ada dalam keputusan. ","")&amp;IF(AND(U38="ya",V38=""),"PERIKSA: adaptif=ya wajib ada kutipan. ","")&amp;IF(AND(R38="none",U38&lt;&gt;"n/a_tanpa_evaluasi",U38&lt;&gt;""),"PERIKSA: tanpa evaluasi, adaptif harus n/a. ","")&amp;IF(AND(OR(R38="author_run",R38="author_run+independent",R38="independent_only"),Q38=""),"PERIKSA: isi kelas_dievaluasi. ","")&amp;IF(AND(OR(R38="author_run",R38="author_run+independent",R38="independent_only"),W38=""),"PERIKSA: isi lokasi_bukti. ","")&amp;IF(AND(H38="tidak",R38&lt;&gt;""),"PERIKSA: tanpa teks lengkap, kosongkan kolom evaluasi. ",""))</f>
        <v/>
      </c>
      <c r="AC38" s="14" t="inlineStr">
        <is>
          <t>exclude</t>
        </is>
      </c>
      <c r="AD38" s="14" t="inlineStr">
        <is>
          <t>EC2</t>
        </is>
      </c>
      <c r="AE38" s="14" t="inlineStr">
        <is>
          <t>audit lanjutan; diterima koordinator</t>
        </is>
      </c>
    </row>
    <row r="39" ht="23.25" customHeight="1" s="21">
      <c r="A39" s="12" t="inlineStr">
        <is>
          <t>wenbiao-2026-toolminimize-auditing-rewriting-llm-agent</t>
        </is>
      </c>
      <c r="B39" s="12" t="inlineStr">
        <is>
          <t>ToolMinimize: Auditing and Rewriting LLM Agent Tool Calls to Minimize Privacy Exposure</t>
        </is>
      </c>
      <c r="C39" s="12" t="n">
        <v>2026</v>
      </c>
      <c r="D39" s="12" t="inlineStr">
        <is>
          <t>E2</t>
        </is>
      </c>
      <c r="E39" s="12" t="inlineStr">
        <is>
          <t>kandidat_agent</t>
        </is>
      </c>
      <c r="F39" s="12" t="inlineStr">
        <is>
          <t>primary</t>
        </is>
      </c>
      <c r="G39" s="13" t="inlineStr">
        <is>
          <t>https://arxiv.org/abs/2608.24957</t>
        </is>
      </c>
      <c r="H39" s="12" t="inlineStr">
        <is>
          <t>tidak</t>
        </is>
      </c>
      <c r="I39" s="12" t="inlineStr">
        <is>
          <t>not_defense</t>
        </is>
      </c>
      <c r="J39" s="12" t="n"/>
      <c r="K39" s="12" t="n"/>
      <c r="L39" s="12" t="n"/>
      <c r="M39" s="12" t="n"/>
      <c r="N39" s="12" t="n"/>
      <c r="O39" s="12" t="n"/>
      <c r="P39" s="12" t="n"/>
      <c r="Q39" s="12" t="n"/>
      <c r="R39" s="12" t="n"/>
      <c r="S39" s="12" t="n"/>
      <c r="T39" s="12" t="n"/>
      <c r="U39" s="12" t="n"/>
      <c r="V39" s="12" t="n"/>
      <c r="W39" s="12" t="n"/>
      <c r="X39" s="12" t="n"/>
      <c r="Y39" s="12" t="n"/>
      <c r="Z39" s="12" t="inlineStr">
        <is>
          <t>[AUDIT_v5_EXCLUDE: EC2] Dikeluarkan dari korpus MCP-spesifik oleh audit reviewer kedua v5. (dikeluarkan setelah audit reviewer kedua + rekonsiliasi)</t>
        </is>
      </c>
      <c r="AA39" s="12">
        <f>IF(I39="","",IF(OR(I39="attack",I39="survey_review",I39="benchmark_measurement",I39="position_other",I39="not_defense"),"n/a",IF(OR(X39="spec_normatif",X39="produksi_bukti_publik"),"L3",IF(ISNUMBER(SEARCH("independent",R39)),"L2",IF(R39="author_run","L1",IF(R39="none","L0",""))))))</f>
        <v/>
      </c>
      <c r="AB39" s="12">
        <f>IF(I39="","",IF(AND(K39="deterministic_policy",M39="ya"),"PERIKSA: deterministic_policy tetapi LLM/ML ada dalam keputusan. ","")&amp;IF(AND(U39="ya",V39=""),"PERIKSA: adaptif=ya wajib ada kutipan. ","")&amp;IF(AND(R39="none",U39&lt;&gt;"n/a_tanpa_evaluasi",U39&lt;&gt;""),"PERIKSA: tanpa evaluasi, adaptif harus n/a. ","")&amp;IF(AND(OR(R39="author_run",R39="author_run+independent",R39="independent_only"),Q39=""),"PERIKSA: isi kelas_dievaluasi. ","")&amp;IF(AND(OR(R39="author_run",R39="author_run+independent",R39="independent_only"),W39=""),"PERIKSA: isi lokasi_bukti. ","")&amp;IF(AND(H39="tidak",R39&lt;&gt;""),"PERIKSA: tanpa teks lengkap, kosongkan kolom evaluasi. ",""))</f>
        <v/>
      </c>
      <c r="AC39" s="14" t="inlineStr">
        <is>
          <t>exclude</t>
        </is>
      </c>
      <c r="AD39" s="14" t="inlineStr">
        <is>
          <t>EC2</t>
        </is>
      </c>
      <c r="AE39" s="14" t="inlineStr">
        <is>
          <t>dikeluarkan setelah audit reviewer kedua + rekonsiliasi</t>
        </is>
      </c>
    </row>
    <row r="40" ht="23.25" customHeight="1" s="21">
      <c r="A40" s="8" t="inlineStr">
        <is>
          <t>wenpeng-2025-mcp-guard-multi-stage-defense</t>
        </is>
      </c>
      <c r="B40" s="8" t="inlineStr">
        <is>
          <t>MCP-Guard: A Multi-Stage Defense-in-Depth Framework for Securing Model Context Protocol in Agentic AI</t>
        </is>
      </c>
      <c r="C40" s="8" t="n">
        <v>2025</v>
      </c>
      <c r="D40" s="8" t="inlineStr">
        <is>
          <t>E1</t>
        </is>
      </c>
      <c r="E40" s="8" t="inlineStr">
        <is>
          <t>kandidat_agent</t>
        </is>
      </c>
      <c r="F40" s="8" t="inlineStr">
        <is>
          <t>primary</t>
        </is>
      </c>
      <c r="G40" s="9" t="inlineStr">
        <is>
          <t>https://arxiv.org/abs/2508.10991</t>
        </is>
      </c>
      <c r="H40" s="10" t="inlineStr">
        <is>
          <t>ya</t>
        </is>
      </c>
      <c r="I40" s="10" t="inlineStr">
        <is>
          <t>defense_primary</t>
        </is>
      </c>
      <c r="J40" s="10" t="inlineStr">
        <is>
          <t>MCP-GUARD</t>
        </is>
      </c>
      <c r="K40" s="10" t="inlineStr">
        <is>
          <t>content_inspection_static</t>
        </is>
      </c>
      <c r="L40" s="10" t="inlineStr">
        <is>
          <t>Middleware keamanan tiga tahap yang menggabungkan filter sintaksis WAF (Tahap I), detektor neural berbasis embedding E5 ter-fine-tune (Tahap II), dan arbiter LLM (Tahap III) untuk mendeteksi payload berbahaya pada MCP.</t>
        </is>
      </c>
      <c r="M40" s="10" t="inlineStr">
        <is>
          <t>ya</t>
        </is>
      </c>
      <c r="N40" s="10" t="inlineStr">
        <is>
          <t>gateway_proxy</t>
        </is>
      </c>
      <c r="O40" s="10" t="inlineStr">
        <is>
          <t>R2;R6;R7</t>
        </is>
      </c>
      <c r="P40" s="10" t="inlineStr">
        <is>
          <t>A1;A2;B1;B2;D1</t>
        </is>
      </c>
      <c r="Q40" s="10" t="inlineStr">
        <is>
          <t>A1;A2;B1;B2</t>
        </is>
      </c>
      <c r="R40" s="10" t="inlineStr">
        <is>
          <t>author_run</t>
        </is>
      </c>
      <c r="S40" s="10" t="n"/>
      <c r="T40" s="10" t="inlineStr">
        <is>
          <t>mixed</t>
        </is>
      </c>
      <c r="U40" s="10" t="inlineStr">
        <is>
          <t>tidak</t>
        </is>
      </c>
      <c r="V40" s="10" t="n"/>
      <c r="W40" s="10" t="inlineStr">
        <is>
          <t>Sec. 5, Tabel 4 &amp; 5, Gambar 3, hal. 6-8</t>
        </is>
      </c>
      <c r="X40" s="10" t="inlineStr">
        <is>
          <t>none</t>
        </is>
      </c>
      <c r="Y40" s="10" t="inlineStr">
        <is>
          <t>Runtime latency log scale: S1 ~1.2ms, S2 ~42ms, end-to-end pipeline ~120-250ms vs standalone LLM &gt;10,000ms; F1-score 96.01%</t>
        </is>
      </c>
      <c r="Z40" s="10" t="inlineStr">
        <is>
          <t>KODER 1 menandai teks lengkap. Pipeline 3-tahap (WAF regex, E5 dense neural embedding, LLM arbitrator). Menggunakan LLM dalam keputusan akhir pada sampel ambigu (P(y|x) ~ 0.5). Catatan deployment: prototipe internal/eksperimental (belum dirilis secara publik).</t>
        </is>
      </c>
      <c r="AA40" s="11">
        <f>IF(I40="","",IF(OR(I40="attack",I40="survey_review",I40="benchmark_measurement",I40="position_other",I40="not_defense"),"n/a",IF(OR(X40="spec_normatif",X40="produksi_bukti_publik"),"L3",IF(ISNUMBER(SEARCH("independent",R40)),"L2",IF(R40="author_run","L1",IF(R40="none","L0",""))))))</f>
        <v/>
      </c>
      <c r="AB40" s="11">
        <f>IF(I40="","",IF(AND(K40="deterministic_policy",M40="ya"),"PERIKSA: deterministic_policy tetapi LLM/ML ada dalam keputusan. ","")&amp;IF(AND(U40="ya",V40=""),"PERIKSA: adaptif=ya wajib ada kutipan. ","")&amp;IF(AND(R40="none",U40&lt;&gt;"n/a_tanpa_evaluasi",U40&lt;&gt;""),"PERIKSA: tanpa evaluasi, adaptif harus n/a. ","")&amp;IF(AND(OR(R40="author_run",R40="author_run+independent",R40="independent_only"),Q40=""),"PERIKSA: isi kelas_dievaluasi. ","")&amp;IF(AND(OR(R40="author_run",R40="author_run+independent",R40="independent_only"),W40=""),"PERIKSA: isi lokasi_bukti. ","")&amp;IF(AND(H40="tidak",R40&lt;&gt;""),"PERIKSA: tanpa teks lengkap, kosongkan kolom evaluasi. ",""))</f>
        <v/>
      </c>
      <c r="AC40" t="inlineStr">
        <is>
          <t>include</t>
        </is>
      </c>
    </row>
    <row r="41" ht="23.25" customHeight="1" s="21">
      <c r="A41" s="8" t="inlineStr">
        <is>
          <t>wonbae-2026-securemcp-policy-enforced-llm-data</t>
        </is>
      </c>
      <c r="B41" s="8" t="inlineStr">
        <is>
          <t>SecureMCP: A Policy-Enforced LLM Data Access Framework for AIoT Systems via Model Context Protocol</t>
        </is>
      </c>
      <c r="C41" s="8" t="n">
        <v>2026</v>
      </c>
      <c r="D41" s="8" t="inlineStr">
        <is>
          <t>E2</t>
        </is>
      </c>
      <c r="E41" s="8" t="inlineStr">
        <is>
          <t>kandidat_agent</t>
        </is>
      </c>
      <c r="F41" s="8" t="inlineStr">
        <is>
          <t>primary</t>
        </is>
      </c>
      <c r="G41" s="9" t="inlineStr">
        <is>
          <t>https://arxiv.org/abs/2605.05260</t>
        </is>
      </c>
      <c r="H41" s="10" t="inlineStr">
        <is>
          <t>ya</t>
        </is>
      </c>
      <c r="I41" s="10" t="inlineStr">
        <is>
          <t>defense_primary</t>
        </is>
      </c>
      <c r="J41" s="10" t="inlineStr">
        <is>
          <t>SecureMCP</t>
        </is>
      </c>
      <c r="K41" s="10" t="inlineStr">
        <is>
          <t>deterministic_policy</t>
        </is>
      </c>
      <c r="L41" s="10" t="inlineStr">
        <is>
          <t>Kerangka kerja multi-lapis yang mengintegrasikan mesin RBAC (check_policy), cost gate EXPLAIN MySQL, SQL Interceptor, Risk Level Filter, dan isolasi DB untuk memblokir injeksi dan operasi ilegal pada pipeline NL2SQL MCP.</t>
        </is>
      </c>
      <c r="M41" s="10" t="inlineStr">
        <is>
          <t>tidak</t>
        </is>
      </c>
      <c r="N41" s="10" t="inlineStr">
        <is>
          <t>gateway_proxy</t>
        </is>
      </c>
      <c r="O41" s="10" t="inlineStr">
        <is>
          <t>R2;R3</t>
        </is>
      </c>
      <c r="P41" s="10" t="inlineStr">
        <is>
          <t>B1;C1;C2;A2</t>
        </is>
      </c>
      <c r="Q41" s="10" t="inlineStr">
        <is>
          <t>B1;C1;C2;A2</t>
        </is>
      </c>
      <c r="R41" s="10" t="inlineStr">
        <is>
          <t>author_run</t>
        </is>
      </c>
      <c r="S41" s="10" t="n"/>
      <c r="T41" s="10" t="inlineStr">
        <is>
          <t>mixed</t>
        </is>
      </c>
      <c r="U41" s="10" t="inlineStr">
        <is>
          <t>tidak</t>
        </is>
      </c>
      <c r="V41" s="10" t="n"/>
      <c r="W41" s="10" t="inlineStr">
        <is>
          <t>Sec. 4 &amp; 5, Tabel 1, 5, 6, hal. 6-12</t>
        </is>
      </c>
      <c r="X41" s="10" t="inlineStr">
        <is>
          <t>prototype_open_source</t>
        </is>
      </c>
      <c r="Y41" s="10" t="inlineStr">
        <is>
          <t>EX-in-ALLOW 65.1%-76.4% vs baseline 63.8%; low operational overhead relatif terhadap inferensi LLM; policy compliance 82.3%</t>
        </is>
      </c>
      <c r="Z41" s="10" t="inlineStr">
        <is>
          <t>KODER 1 menandai teks lengkap. Pipeline 5 modul (RBAC check_policy, EXPLAIN cost gate, SQL interceptor, risk level filter, DB isolation). Tanpa pengujian penyerang adaptif. Repositori/artefak: https://zenodo.org/records/15000588.</t>
        </is>
      </c>
      <c r="AA41" s="11">
        <f>IF(I41="","",IF(OR(I41="attack",I41="survey_review",I41="benchmark_measurement",I41="position_other",I41="not_defense"),"n/a",IF(OR(X41="spec_normatif",X41="produksi_bukti_publik"),"L3",IF(ISNUMBER(SEARCH("independent",R41)),"L2",IF(R41="author_run","L1",IF(R41="none","L0",""))))))</f>
        <v/>
      </c>
      <c r="AB41" s="11">
        <f>IF(I41="","",IF(AND(K41="deterministic_policy",M41="ya"),"PERIKSA: deterministic_policy tetapi LLM/ML ada dalam keputusan. ","")&amp;IF(AND(U41="ya",V41=""),"PERIKSA: adaptif=ya wajib ada kutipan. ","")&amp;IF(AND(R41="none",U41&lt;&gt;"n/a_tanpa_evaluasi",U41&lt;&gt;""),"PERIKSA: tanpa evaluasi, adaptif harus n/a. ","")&amp;IF(AND(OR(R41="author_run",R41="author_run+independent",R41="independent_only"),Q41=""),"PERIKSA: isi kelas_dievaluasi. ","")&amp;IF(AND(OR(R41="author_run",R41="author_run+independent",R41="independent_only"),W41=""),"PERIKSA: isi lokasi_bukti. ","")&amp;IF(AND(H41="tidak",R41&lt;&gt;""),"PERIKSA: tanpa teks lengkap, kosongkan kolom evaluasi. ",""))</f>
        <v/>
      </c>
      <c r="AC41" t="inlineStr">
        <is>
          <t>include</t>
        </is>
      </c>
    </row>
    <row r="42" ht="23.25" customHeight="1" s="21">
      <c r="A42" s="8" t="inlineStr">
        <is>
          <t>xinyi-2026-smcp-secure-model-context-protocol</t>
        </is>
      </c>
      <c r="B42" s="8" t="inlineStr">
        <is>
          <t>SMCP: Secure Model Context Protocol</t>
        </is>
      </c>
      <c r="C42" s="8" t="n">
        <v>2026</v>
      </c>
      <c r="D42" s="8" t="inlineStr">
        <is>
          <t>E2</t>
        </is>
      </c>
      <c r="E42" s="8" t="inlineStr">
        <is>
          <t>kandidat_agent</t>
        </is>
      </c>
      <c r="F42" s="8" t="inlineStr">
        <is>
          <t>primary</t>
        </is>
      </c>
      <c r="G42" s="9" t="inlineStr">
        <is>
          <t>https://arxiv.org/abs/2602.01129</t>
        </is>
      </c>
      <c r="H42" s="10" t="inlineStr">
        <is>
          <t>ya</t>
        </is>
      </c>
      <c r="I42" s="10" t="inlineStr">
        <is>
          <t>proposal_only</t>
        </is>
      </c>
      <c r="J42" s="10" t="inlineStr">
        <is>
          <t>SMCP (Secure Model Context Protocol)</t>
        </is>
      </c>
      <c r="K42" s="10" t="inlineStr">
        <is>
          <t>protocol_provision</t>
        </is>
      </c>
      <c r="L42" s="10" t="inlineStr">
        <is>
          <t>Ekstensi protokol tingkat sistem yang mengintegrasikan manajemen identitas terpadu, autentikasi mutual, propagasi konteks keamanan berkelanjutan, dan penegakan kebijakan granular untuk mengamankan alur kerja MCP.</t>
        </is>
      </c>
      <c r="M42" s="10" t="inlineStr">
        <is>
          <t>tidak</t>
        </is>
      </c>
      <c r="N42" s="10" t="inlineStr">
        <is>
          <t>gateway_proxy</t>
        </is>
      </c>
      <c r="O42" s="10" t="inlineStr">
        <is>
          <t>R1;R2;R3;R4;R5;R6;R7</t>
        </is>
      </c>
      <c r="P42" s="10" t="inlineStr">
        <is>
          <t>A1;B1;C1;C3;D3</t>
        </is>
      </c>
      <c r="Q42" s="10" t="n"/>
      <c r="R42" s="10" t="inlineStr">
        <is>
          <t>none</t>
        </is>
      </c>
      <c r="S42" s="10" t="n"/>
      <c r="T42" s="10" t="inlineStr">
        <is>
          <t>none</t>
        </is>
      </c>
      <c r="U42" s="10" t="inlineStr">
        <is>
          <t>n/a_tanpa_evaluasi</t>
        </is>
      </c>
      <c r="V42" s="10" t="n"/>
      <c r="W42" s="10" t="inlineStr">
        <is>
          <t>Sec. 4 &amp; 5, hal. 7-20</t>
        </is>
      </c>
      <c r="X42" s="10" t="inlineStr">
        <is>
          <t>none</t>
        </is>
      </c>
      <c r="Y42" s="10" t="inlineStr">
        <is>
          <t>not_reported</t>
        </is>
      </c>
      <c r="Z42" s="10" t="inlineStr">
        <is>
          <t>Makalah desain dan spesifikasi ekstensi protokol komprehensif (SMCP) tanpa evaluasi empiris pertahanan terhadap dataset serangan. KODER 1 menandai teks lengkap.</t>
        </is>
      </c>
      <c r="AA42" s="11">
        <f>IF(I42="","",IF(OR(I42="attack",I42="survey_review",I42="benchmark_measurement",I42="position_other",I42="not_defense"),"n/a",IF(OR(X42="spec_normatif",X42="produksi_bukti_publik"),"L3",IF(ISNUMBER(SEARCH("independent",R42)),"L2",IF(R42="author_run","L1",IF(R42="none","L0",""))))))</f>
        <v/>
      </c>
      <c r="AB42" s="11">
        <f>IF(I42="","",IF(AND(K42="deterministic_policy",M42="ya"),"PERIKSA: deterministic_policy tetapi LLM/ML ada dalam keputusan. ","")&amp;IF(AND(U42="ya",V42=""),"PERIKSA: adaptif=ya wajib ada kutipan. ","")&amp;IF(AND(R42="none",U42&lt;&gt;"n/a_tanpa_evaluasi",U42&lt;&gt;""),"PERIKSA: tanpa evaluasi, adaptif harus n/a. ","")&amp;IF(AND(OR(R42="author_run",R42="author_run+independent",R42="independent_only"),Q42=""),"PERIKSA: isi kelas_dievaluasi. ","")&amp;IF(AND(OR(R42="author_run",R42="author_run+independent",R42="independent_only"),W42=""),"PERIKSA: isi lokasi_bukti. ","")&amp;IF(AND(H42="tidak",R42&lt;&gt;""),"PERIKSA: tanpa teks lengkap, kosongkan kolom evaluasi. ",""))</f>
        <v/>
      </c>
      <c r="AC42" t="inlineStr">
        <is>
          <t>include</t>
        </is>
      </c>
    </row>
    <row r="43" ht="23.25" customHeight="1" s="21">
      <c r="A43" s="8" t="inlineStr">
        <is>
          <t>yang-2026-mitigating-taint-style-vulnerabilities-mcp</t>
        </is>
      </c>
      <c r="B43" s="8" t="inlineStr">
        <is>
          <t>Mitigating Taint-Style Vulnerabilities in MCP Servers via Security-Aware Tool Descriptions</t>
        </is>
      </c>
      <c r="C43" s="8" t="n">
        <v>2026</v>
      </c>
      <c r="D43" s="8" t="inlineStr">
        <is>
          <t>E2</t>
        </is>
      </c>
      <c r="E43" s="8" t="inlineStr">
        <is>
          <t>kandidat_agent</t>
        </is>
      </c>
      <c r="F43" s="8" t="inlineStr">
        <is>
          <t>primary</t>
        </is>
      </c>
      <c r="G43" s="9" t="inlineStr">
        <is>
          <t>https://arxiv.org/abs/2607.07461</t>
        </is>
      </c>
      <c r="H43" s="10" t="inlineStr">
        <is>
          <t>ya</t>
        </is>
      </c>
      <c r="I43" s="10" t="inlineStr">
        <is>
          <t>defense_primary</t>
        </is>
      </c>
      <c r="J43" s="10" t="inlineStr">
        <is>
          <t>SPELLSMITH</t>
        </is>
      </c>
      <c r="K43" s="10" t="inlineStr">
        <is>
          <t>content_inspection_static</t>
        </is>
      </c>
      <c r="L43" s="10" t="inlineStr">
        <is>
          <t>Mekanisme mitigasi berbasis teks yang memperkaya deskripsi alat MCP dengan batasan keamanan perilaku dan menggunakan modul refleksi mandiri LLM untuk mencegah eksploitasi kerentanan taint-style.</t>
        </is>
      </c>
      <c r="M43" s="10" t="inlineStr">
        <is>
          <t>ya</t>
        </is>
      </c>
      <c r="N43" s="10" t="inlineStr">
        <is>
          <t>C</t>
        </is>
      </c>
      <c r="O43" s="10" t="inlineStr">
        <is>
          <t>R2;R5;R7</t>
        </is>
      </c>
      <c r="P43" s="10" t="inlineStr">
        <is>
          <t>A1;B1;C5</t>
        </is>
      </c>
      <c r="Q43" s="10" t="inlineStr">
        <is>
          <t>B1;C5</t>
        </is>
      </c>
      <c r="R43" s="10" t="inlineStr">
        <is>
          <t>author_run</t>
        </is>
      </c>
      <c r="S43" s="10" t="n"/>
      <c r="T43" s="10" t="inlineStr">
        <is>
          <t>mixed</t>
        </is>
      </c>
      <c r="U43" s="10" t="inlineStr">
        <is>
          <t>tidak</t>
        </is>
      </c>
      <c r="V43" s="10" t="n"/>
      <c r="W43" s="10" t="inlineStr">
        <is>
          <t>Sec. 6, Tabel 6 &amp; 7, hal. 8-11</t>
        </is>
      </c>
      <c r="X43" s="10" t="inlineStr">
        <is>
          <t>none</t>
        </is>
      </c>
      <c r="Y43" s="10" t="inlineStr">
        <is>
          <t>ASR menurun dari 80.8% menjadi 1.5% (post-reflection); overhead komputasi inferensi refleksi tambahan</t>
        </is>
      </c>
      <c r="Z43" s="10" t="inlineStr">
        <is>
          <t>KODER 1 menandai teks lengkap. SPELLSMITH memanfaatkan augmentasi deskripsi alat dan refleksi mandiri LLM (GPT-4o) untuk memitigasi kerentanan taint-style pada alat MCP. Catatan deployment: prototipe internal/eksperimental (belum dirilis secara publik).</t>
        </is>
      </c>
      <c r="AA43" s="11">
        <f>IF(I43="","",IF(OR(I43="attack",I43="survey_review",I43="benchmark_measurement",I43="position_other",I43="not_defense"),"n/a",IF(OR(X43="spec_normatif",X43="produksi_bukti_publik"),"L3",IF(ISNUMBER(SEARCH("independent",R43)),"L2",IF(R43="author_run","L1",IF(R43="none","L0",""))))))</f>
        <v/>
      </c>
      <c r="AB43" s="11">
        <f>IF(I43="","",IF(AND(K43="deterministic_policy",M43="ya"),"PERIKSA: deterministic_policy tetapi LLM/ML ada dalam keputusan. ","")&amp;IF(AND(U43="ya",V43=""),"PERIKSA: adaptif=ya wajib ada kutipan. ","")&amp;IF(AND(R43="none",U43&lt;&gt;"n/a_tanpa_evaluasi",U43&lt;&gt;""),"PERIKSA: tanpa evaluasi, adaptif harus n/a. ","")&amp;IF(AND(OR(R43="author_run",R43="author_run+independent",R43="independent_only"),Q43=""),"PERIKSA: isi kelas_dievaluasi. ","")&amp;IF(AND(OR(R43="author_run",R43="author_run+independent",R43="independent_only"),W43=""),"PERIKSA: isi lokasi_bukti. ","")&amp;IF(AND(H43="tidak",R43&lt;&gt;""),"PERIKSA: tanpa teks lengkap, kosongkan kolom evaluasi. ",""))</f>
        <v/>
      </c>
      <c r="AC43" t="inlineStr">
        <is>
          <t>include</t>
        </is>
      </c>
    </row>
    <row r="44" ht="23.25" customHeight="1" s="21">
      <c r="A44" s="12" t="inlineStr">
        <is>
          <t>yifeng-2025-who-grants-agent-power-defending</t>
        </is>
      </c>
      <c r="B44" s="12" t="inlineStr">
        <is>
          <t>Who Grants the Agent Power? Defending Against Instruction Injection via Task-Centric Access Control</t>
        </is>
      </c>
      <c r="C44" s="12" t="n">
        <v>2025</v>
      </c>
      <c r="D44" s="12" t="inlineStr">
        <is>
          <t>E2</t>
        </is>
      </c>
      <c r="E44" s="12" t="inlineStr">
        <is>
          <t>kandidat_agent</t>
        </is>
      </c>
      <c r="F44" s="12" t="inlineStr">
        <is>
          <t>primary</t>
        </is>
      </c>
      <c r="G44" s="13" t="inlineStr">
        <is>
          <t>https://arxiv.org/abs/2510.26212</t>
        </is>
      </c>
      <c r="H44" s="12" t="inlineStr">
        <is>
          <t>tidak</t>
        </is>
      </c>
      <c r="I44" s="12" t="inlineStr">
        <is>
          <t>not_defense</t>
        </is>
      </c>
      <c r="J44" s="12" t="n"/>
      <c r="K44" s="12" t="n"/>
      <c r="L44" s="12" t="n"/>
      <c r="M44" s="12" t="n"/>
      <c r="N44" s="12" t="n"/>
      <c r="O44" s="12" t="n"/>
      <c r="P44" s="12" t="n"/>
      <c r="Q44" s="12" t="n"/>
      <c r="R44" s="12" t="n"/>
      <c r="S44" s="12" t="n"/>
      <c r="T44" s="12" t="n"/>
      <c r="U44" s="12" t="n"/>
      <c r="V44" s="12" t="n"/>
      <c r="W44" s="12" t="n"/>
      <c r="X44" s="12" t="n"/>
      <c r="Y44" s="12" t="n"/>
      <c r="Z44" s="12" t="inlineStr">
        <is>
          <t>[AUDIT_v5_EXCLUDE: EC2] Dikeluarkan dari korpus MCP-spesifik oleh audit reviewer kedua v5. (audit lanjutan; diterima koordinator)</t>
        </is>
      </c>
      <c r="AA44" s="12">
        <f>IF(I44="","",IF(OR(I44="attack",I44="survey_review",I44="benchmark_measurement",I44="position_other",I44="not_defense"),"n/a",IF(OR(X44="spec_normatif",X44="produksi_bukti_publik"),"L3",IF(ISNUMBER(SEARCH("independent",R44)),"L2",IF(R44="author_run","L1",IF(R44="none","L0",""))))))</f>
        <v/>
      </c>
      <c r="AB44" s="12">
        <f>IF(I44="","",IF(AND(K44="deterministic_policy",M44="ya"),"PERIKSA: deterministic_policy tetapi LLM/ML ada dalam keputusan. ","")&amp;IF(AND(U44="ya",V44=""),"PERIKSA: adaptif=ya wajib ada kutipan. ","")&amp;IF(AND(R44="none",U44&lt;&gt;"n/a_tanpa_evaluasi",U44&lt;&gt;""),"PERIKSA: tanpa evaluasi, adaptif harus n/a. ","")&amp;IF(AND(OR(R44="author_run",R44="author_run+independent",R44="independent_only"),Q44=""),"PERIKSA: isi kelas_dievaluasi. ","")&amp;IF(AND(OR(R44="author_run",R44="author_run+independent",R44="independent_only"),W44=""),"PERIKSA: isi lokasi_bukti. ","")&amp;IF(AND(H44="tidak",R44&lt;&gt;""),"PERIKSA: tanpa teks lengkap, kosongkan kolom evaluasi. ",""))</f>
        <v/>
      </c>
      <c r="AC44" s="14" t="inlineStr">
        <is>
          <t>exclude</t>
        </is>
      </c>
      <c r="AD44" s="14" t="inlineStr">
        <is>
          <t>EC2</t>
        </is>
      </c>
      <c r="AE44" s="14" t="inlineStr">
        <is>
          <t>audit lanjutan; diterima koordinator</t>
        </is>
      </c>
    </row>
    <row r="45" ht="34.5" customHeight="1" s="21">
      <c r="A45" s="8" t="inlineStr">
        <is>
          <t>yiheng-2026-component-manipulation-system-compromise-understanding</t>
        </is>
      </c>
      <c r="B45" s="8" t="inlineStr">
        <is>
          <t>From Component Manipulation to System Compromise: Understanding and Detecting Malicious MCP Servers</t>
        </is>
      </c>
      <c r="C45" s="8" t="n">
        <v>2026</v>
      </c>
      <c r="D45" s="8" t="inlineStr">
        <is>
          <t>E2</t>
        </is>
      </c>
      <c r="E45" s="8" t="inlineStr">
        <is>
          <t>kandidat_agent</t>
        </is>
      </c>
      <c r="F45" s="8" t="inlineStr">
        <is>
          <t>primary</t>
        </is>
      </c>
      <c r="G45" s="9" t="inlineStr">
        <is>
          <t>https://arxiv.org/abs/2604.01905</t>
        </is>
      </c>
      <c r="H45" s="10" t="inlineStr">
        <is>
          <t>ya</t>
        </is>
      </c>
      <c r="I45" s="10" t="inlineStr">
        <is>
          <t>defense_primary</t>
        </is>
      </c>
      <c r="J45" s="10" t="inlineStr">
        <is>
          <t>Connor</t>
        </is>
      </c>
      <c r="K45" s="10" t="inlineStr">
        <is>
          <t>content_inspection_static</t>
        </is>
      </c>
      <c r="L45" s="10" t="inlineStr">
        <is>
          <t>Detektor deviasi perilaku dua tahap yang menggabungkan analisis statis konfigurasi/kode pre-eksekusi dengan pelacakan lintasan eksekusi dan penilai deviasi berbasis LLM untuk mendeteksi server MCP berbahaya.</t>
        </is>
      </c>
      <c r="M45" s="10" t="inlineStr">
        <is>
          <t>ya</t>
        </is>
      </c>
      <c r="N45" s="10" t="inlineStr">
        <is>
          <t>gateway_proxy</t>
        </is>
      </c>
      <c r="O45" s="10" t="inlineStr">
        <is>
          <t>R2;R7</t>
        </is>
      </c>
      <c r="P45" s="10" t="inlineStr">
        <is>
          <t>A1;A3;B3;D3</t>
        </is>
      </c>
      <c r="Q45" s="10" t="inlineStr">
        <is>
          <t>A1;A3;B3</t>
        </is>
      </c>
      <c r="R45" s="10" t="inlineStr">
        <is>
          <t>author_run</t>
        </is>
      </c>
      <c r="S45" s="10" t="n"/>
      <c r="T45" s="10" t="inlineStr">
        <is>
          <t>mixed</t>
        </is>
      </c>
      <c r="U45" s="10" t="inlineStr">
        <is>
          <t>tidak</t>
        </is>
      </c>
      <c r="V45" s="10" t="n"/>
      <c r="W45" s="10" t="inlineStr">
        <is>
          <t>Sec. 6, Tabel 7 &amp; 8, hal. 22-25</t>
        </is>
      </c>
      <c r="X45" s="10" t="inlineStr">
        <is>
          <t>prototype_open_source</t>
        </is>
      </c>
      <c r="Y45" s="10" t="inlineStr">
        <is>
          <t>F1-score 94.6% (mengungguli SOTA sebesar 8.9% - 59.6%), pre-execution latency 3.2s, in-execution tracing overhead</t>
        </is>
      </c>
      <c r="Z45" s="10" t="inlineStr">
        <is>
          <t>KODER 1 menandai teks lengkap. Connor mengombinasikan analisis statis pre-eksekusi (Joern/CPG) dan deteksi deviasi perilaku runtime dengan model LLM (GPT-5/Claude Sonnet 4). Repositori/artefak: https://github.com/yiheng98/Connor.</t>
        </is>
      </c>
      <c r="AA45" s="11">
        <f>IF(I45="","",IF(OR(I45="attack",I45="survey_review",I45="benchmark_measurement",I45="position_other",I45="not_defense"),"n/a",IF(OR(X45="spec_normatif",X45="produksi_bukti_publik"),"L3",IF(ISNUMBER(SEARCH("independent",R45)),"L2",IF(R45="author_run","L1",IF(R45="none","L0",""))))))</f>
        <v/>
      </c>
      <c r="AB45" s="11">
        <f>IF(I45="","",IF(AND(K45="deterministic_policy",M45="ya"),"PERIKSA: deterministic_policy tetapi LLM/ML ada dalam keputusan. ","")&amp;IF(AND(U45="ya",V45=""),"PERIKSA: adaptif=ya wajib ada kutipan. ","")&amp;IF(AND(R45="none",U45&lt;&gt;"n/a_tanpa_evaluasi",U45&lt;&gt;""),"PERIKSA: tanpa evaluasi, adaptif harus n/a. ","")&amp;IF(AND(OR(R45="author_run",R45="author_run+independent",R45="independent_only"),Q45=""),"PERIKSA: isi kelas_dievaluasi. ","")&amp;IF(AND(OR(R45="author_run",R45="author_run+independent",R45="independent_only"),W45=""),"PERIKSA: isi lokasi_bukti. ","")&amp;IF(AND(H45="tidak",R45&lt;&gt;""),"PERIKSA: tanpa teks lengkap, kosongkan kolom evaluasi. ",""))</f>
        <v/>
      </c>
      <c r="AC45" t="inlineStr">
        <is>
          <t>include</t>
        </is>
      </c>
    </row>
    <row r="46" ht="23.25" customHeight="1" s="21">
      <c r="A46" s="8" t="inlineStr">
        <is>
          <t>ying-2026-options-not-clicks-lattice-refinement</t>
        </is>
      </c>
      <c r="B46" s="8" t="inlineStr">
        <is>
          <t>Options, Not Clicks: Lattice Refinement for Consent-Driven MCP Authorization</t>
        </is>
      </c>
      <c r="C46" s="8" t="n">
        <v>2026</v>
      </c>
      <c r="D46" s="8" t="inlineStr">
        <is>
          <t>E2</t>
        </is>
      </c>
      <c r="E46" s="8" t="inlineStr">
        <is>
          <t>kandidat_agent</t>
        </is>
      </c>
      <c r="F46" s="8" t="inlineStr">
        <is>
          <t>primary</t>
        </is>
      </c>
      <c r="G46" s="9" t="inlineStr">
        <is>
          <t>https://arxiv.org/abs/2605.11360</t>
        </is>
      </c>
      <c r="H46" s="10" t="inlineStr">
        <is>
          <t>ya</t>
        </is>
      </c>
      <c r="I46" s="10" t="inlineStr">
        <is>
          <t>defense_primary</t>
        </is>
      </c>
      <c r="J46" s="10" t="inlineStr">
        <is>
          <t>ConLeash</t>
        </is>
      </c>
      <c r="K46" s="10" t="inlineStr">
        <is>
          <t>deterministic_policy</t>
        </is>
      </c>
      <c r="L46" s="10" t="inlineStr">
        <is>
          <t>Middleware persetujuan sisi klien berbasis neuro-simbolik yang menggunakan lattice containment dan Datalog deterministik untuk menegakkan otorisasi berlingkup batas dan menyaring eskalasi izin MCP.</t>
        </is>
      </c>
      <c r="M46" s="10" t="inlineStr">
        <is>
          <t>tidak</t>
        </is>
      </c>
      <c r="N46" s="10" t="inlineStr">
        <is>
          <t>C</t>
        </is>
      </c>
      <c r="O46" s="10" t="inlineStr">
        <is>
          <t>R1;R2;R3</t>
        </is>
      </c>
      <c r="P46" s="10" t="inlineStr">
        <is>
          <t>C1;A2;B2</t>
        </is>
      </c>
      <c r="Q46" s="10" t="inlineStr">
        <is>
          <t>C1;A2</t>
        </is>
      </c>
      <c r="R46" s="10" t="inlineStr">
        <is>
          <t>author_run</t>
        </is>
      </c>
      <c r="S46" s="10" t="n"/>
      <c r="T46" s="10" t="inlineStr">
        <is>
          <t>third_party_public</t>
        </is>
      </c>
      <c r="U46" s="10" t="inlineStr">
        <is>
          <t>tidak</t>
        </is>
      </c>
      <c r="V46" s="10" t="n"/>
      <c r="W46" s="10" t="inlineStr">
        <is>
          <t>Sec. 8, Tabel 2 &amp; 3, hal. 11-14</t>
        </is>
      </c>
      <c r="X46" s="10" t="inlineStr">
        <is>
          <t>none</t>
        </is>
      </c>
      <c r="Y46" s="10" t="inlineStr">
        <is>
          <t>8.2 ms reasoning overhead per step; F1 98.7%; menangkap 99.4% eskalasi izin; user study N=16</t>
        </is>
      </c>
      <c r="Z46" s="10" t="inlineStr">
        <is>
          <t>KODER 1 menandai teks lengkap. ConLeash adalah middleware neuro-simbolik; LLM hanya sebagai penerjemah fakta, sedangkan keputusan otorisasi lattice containment sepenuhnya deterministik via Datalog. Catatan deployment: prototipe internal/eksperimental (belum dirilis secara publik).</t>
        </is>
      </c>
      <c r="AA46" s="11">
        <f>IF(I46="","",IF(OR(I46="attack",I46="survey_review",I46="benchmark_measurement",I46="position_other",I46="not_defense"),"n/a",IF(OR(X46="spec_normatif",X46="produksi_bukti_publik"),"L3",IF(ISNUMBER(SEARCH("independent",R46)),"L2",IF(R46="author_run","L1",IF(R46="none","L0",""))))))</f>
        <v/>
      </c>
      <c r="AB46" s="11">
        <f>IF(I46="","",IF(AND(K46="deterministic_policy",M46="ya"),"PERIKSA: deterministic_policy tetapi LLM/ML ada dalam keputusan. ","")&amp;IF(AND(U46="ya",V46=""),"PERIKSA: adaptif=ya wajib ada kutipan. ","")&amp;IF(AND(R46="none",U46&lt;&gt;"n/a_tanpa_evaluasi",U46&lt;&gt;""),"PERIKSA: tanpa evaluasi, adaptif harus n/a. ","")&amp;IF(AND(OR(R46="author_run",R46="author_run+independent",R46="independent_only"),Q46=""),"PERIKSA: isi kelas_dievaluasi. ","")&amp;IF(AND(OR(R46="author_run",R46="author_run+independent",R46="independent_only"),W46=""),"PERIKSA: isi lokasi_bukti. ","")&amp;IF(AND(H46="tidak",R46&lt;&gt;""),"PERIKSA: tanpa teks lengkap, kosongkan kolom evaluasi. ",""))</f>
        <v/>
      </c>
      <c r="AC46" t="inlineStr">
        <is>
          <t>include</t>
        </is>
      </c>
    </row>
    <row r="47" ht="23.25" customHeight="1" s="21">
      <c r="A47" s="8" t="inlineStr">
        <is>
          <t>zehua-2026-no-box-vulnerability-analysis-description</t>
        </is>
      </c>
      <c r="B47" s="8" t="inlineStr">
        <is>
          <t>No-Box Vulnerability Analysis: Description-only Detection of Indirect Prompt Injection Vulnerabilities in MCP Servers</t>
        </is>
      </c>
      <c r="C47" s="8" t="n">
        <v>2026</v>
      </c>
      <c r="D47" s="8" t="inlineStr">
        <is>
          <t>E2</t>
        </is>
      </c>
      <c r="E47" s="8" t="inlineStr">
        <is>
          <t>kandidat_agent</t>
        </is>
      </c>
      <c r="F47" s="8" t="inlineStr">
        <is>
          <t>primary</t>
        </is>
      </c>
      <c r="G47" s="9" t="inlineStr">
        <is>
          <t>https://arxiv.org/abs/2609.10854</t>
        </is>
      </c>
      <c r="H47" s="10" t="inlineStr">
        <is>
          <t>ya</t>
        </is>
      </c>
      <c r="I47" s="10" t="inlineStr">
        <is>
          <t>defense_primary</t>
        </is>
      </c>
      <c r="J47" s="10" t="inlineStr">
        <is>
          <t>MCPSEC</t>
        </is>
      </c>
      <c r="K47" s="10" t="inlineStr">
        <is>
          <t>content_inspection_static</t>
        </is>
      </c>
      <c r="L47" s="10" t="inlineStr">
        <is>
          <t>Pipeline analisis kerentanan no-box yang mengaudit metadata registrasi server MCP untuk mendeteksi potensi aliran data dan kerentanan indirect prompt injection tanpa akses source code atau runtime.</t>
        </is>
      </c>
      <c r="M47" s="10" t="inlineStr">
        <is>
          <t>ya</t>
        </is>
      </c>
      <c r="N47" s="10" t="inlineStr">
        <is>
          <t>offline_analysis</t>
        </is>
      </c>
      <c r="O47" s="10" t="inlineStr">
        <is>
          <t>R7</t>
        </is>
      </c>
      <c r="P47" s="10" t="inlineStr">
        <is>
          <t>B2</t>
        </is>
      </c>
      <c r="Q47" s="10" t="inlineStr">
        <is>
          <t>B2</t>
        </is>
      </c>
      <c r="R47" s="10" t="inlineStr">
        <is>
          <t>author_run</t>
        </is>
      </c>
      <c r="S47" s="10" t="n"/>
      <c r="T47" s="10" t="inlineStr">
        <is>
          <t>mixed</t>
        </is>
      </c>
      <c r="U47" s="10" t="inlineStr">
        <is>
          <t>tidak</t>
        </is>
      </c>
      <c r="V47" s="10" t="n"/>
      <c r="W47" s="10" t="inlineStr">
        <is>
          <t>Sec. VII, Tabel II, hal. 7-10</t>
        </is>
      </c>
      <c r="X47" s="10" t="inlineStr">
        <is>
          <t>none</t>
        </is>
      </c>
      <c r="Y47" s="10" t="inlineStr">
        <is>
          <t>98.9% recall (94 dari 95 vulnerable tools terdeteksi) vs baseline LLM 84.2%; runtime metadata analysis</t>
        </is>
      </c>
      <c r="Z47" s="10" t="inlineStr">
        <is>
          <t>KODER 1 menandai teks lengkap. MCPSEC adalah sistem analisis kerentanan no-box berbasis metadata alat untuk mendeteksi indirect prompt injection (B2) sebelum deployment. Catatan deployment: prototipe internal/eksperimental (belum dirilis secara publik).</t>
        </is>
      </c>
      <c r="AA47" s="11">
        <f>IF(I47="","",IF(OR(I47="attack",I47="survey_review",I47="benchmark_measurement",I47="position_other",I47="not_defense"),"n/a",IF(OR(X47="spec_normatif",X47="produksi_bukti_publik"),"L3",IF(ISNUMBER(SEARCH("independent",R47)),"L2",IF(R47="author_run","L1",IF(R47="none","L0",""))))))</f>
        <v/>
      </c>
      <c r="AB47" s="11">
        <f>IF(I47="","",IF(AND(K47="deterministic_policy",M47="ya"),"PERIKSA: deterministic_policy tetapi LLM/ML ada dalam keputusan. ","")&amp;IF(AND(U47="ya",V47=""),"PERIKSA: adaptif=ya wajib ada kutipan. ","")&amp;IF(AND(R47="none",U47&lt;&gt;"n/a_tanpa_evaluasi",U47&lt;&gt;""),"PERIKSA: tanpa evaluasi, adaptif harus n/a. ","")&amp;IF(AND(OR(R47="author_run",R47="author_run+independent",R47="independent_only"),Q47=""),"PERIKSA: isi kelas_dievaluasi. ","")&amp;IF(AND(OR(R47="author_run",R47="author_run+independent",R47="independent_only"),W47=""),"PERIKSA: isi lokasi_bukti. ","")&amp;IF(AND(H47="tidak",R47&lt;&gt;""),"PERIKSA: tanpa teks lengkap, kosongkan kolom evaluasi. ",""))</f>
        <v/>
      </c>
      <c r="AC47" t="inlineStr">
        <is>
          <t>include</t>
        </is>
      </c>
    </row>
    <row r="48" ht="23.25" customHeight="1" s="21">
      <c r="A48" s="8" t="inlineStr">
        <is>
          <t>zhenhong-2026-mcpshield-security-cognition-layer-adaptive</t>
        </is>
      </c>
      <c r="B48" s="8" t="inlineStr">
        <is>
          <t>MCPShield: A Security Cognition Layer for Adaptive Trust Calibration in Model Context Protocol Agents</t>
        </is>
      </c>
      <c r="C48" s="8" t="n">
        <v>2026</v>
      </c>
      <c r="D48" s="8" t="inlineStr">
        <is>
          <t>E2</t>
        </is>
      </c>
      <c r="E48" s="8" t="inlineStr">
        <is>
          <t>kandidat_agent</t>
        </is>
      </c>
      <c r="F48" s="8" t="inlineStr">
        <is>
          <t>primary</t>
        </is>
      </c>
      <c r="G48" s="9" t="inlineStr">
        <is>
          <t>https://arxiv.org/abs/2602.14281</t>
        </is>
      </c>
      <c r="H48" s="10" t="inlineStr">
        <is>
          <t>ya</t>
        </is>
      </c>
      <c r="I48" s="10" t="inlineStr">
        <is>
          <t>defense_primary</t>
        </is>
      </c>
      <c r="J48" s="10" t="inlineStr">
        <is>
          <t>MCPShield</t>
        </is>
      </c>
      <c r="K48" s="10" t="inlineStr">
        <is>
          <t>content_inspection_static</t>
        </is>
      </c>
      <c r="L48" s="10" t="inlineStr">
        <is>
          <t>Lapisan kognisi keamanan plug-in yang menggabungkan probing kognitif pra-invokasi, proyeksi terisolasi saat eksekusi, dan penalaran periodik pasca-invokasi untuk mengalibrasi kepercayaan agen MCP.</t>
        </is>
      </c>
      <c r="M48" s="10" t="inlineStr">
        <is>
          <t>ya</t>
        </is>
      </c>
      <c r="N48" s="10" t="inlineStr">
        <is>
          <t>gateway_proxy</t>
        </is>
      </c>
      <c r="O48" s="10" t="inlineStr">
        <is>
          <t>R2;R7</t>
        </is>
      </c>
      <c r="P48" s="10" t="inlineStr">
        <is>
          <t>A1;A3;B1;B2;D3</t>
        </is>
      </c>
      <c r="Q48" s="10" t="inlineStr">
        <is>
          <t>A1;A3;B1;B2;D3</t>
        </is>
      </c>
      <c r="R48" s="10" t="inlineStr">
        <is>
          <t>author_run</t>
        </is>
      </c>
      <c r="S48" s="10" t="n"/>
      <c r="T48" s="10" t="inlineStr">
        <is>
          <t>mixed</t>
        </is>
      </c>
      <c r="U48" s="10" t="inlineStr">
        <is>
          <t>tidak</t>
        </is>
      </c>
      <c r="V48" s="10" t="n"/>
      <c r="W48" s="10" t="inlineStr">
        <is>
          <t>Sec. 5, Tabel 1, 2, 3, hal. 7-8</t>
        </is>
      </c>
      <c r="X48" s="10" t="inlineStr">
        <is>
          <t>none</t>
        </is>
      </c>
      <c r="Y48" s="10" t="inlineStr">
        <is>
          <t>Tingkat pertahanan rata-rata 95.30% vs 10.05% baseline; false positive deny rate rendah (Tabel 2); runtime dan token overhead (Gbr 3 &amp; 4)</t>
        </is>
      </c>
      <c r="Z48" s="10" t="inlineStr">
        <is>
          <t>KODER 1 menandai teks lengkap. Mengevaluasi 6 suite serangan termasuk Adaptive Attack (Zhan et al., 2025) yang merupakan benchmark tetap pihak ketiga yang dirancang terhadap pertahanan lain, bukan serangan yang disetel terhadap MCPShield (adaptif=tidak, sesuai Pedoman 7.3). Catatan deployment: prototipe internal/eksperimental (belum dirilis secara publik).</t>
        </is>
      </c>
      <c r="AA48" s="11">
        <f>IF(I48="","",IF(OR(I48="attack",I48="survey_review",I48="benchmark_measurement",I48="position_other",I48="not_defense"),"n/a",IF(OR(X48="spec_normatif",X48="produksi_bukti_publik"),"L3",IF(ISNUMBER(SEARCH("independent",R48)),"L2",IF(R48="author_run","L1",IF(R48="none","L0",""))))))</f>
        <v/>
      </c>
      <c r="AB48" s="11">
        <f>IF(I48="","",IF(AND(K48="deterministic_policy",M48="ya"),"PERIKSA: deterministic_policy tetapi LLM/ML ada dalam keputusan. ","")&amp;IF(AND(U48="ya",V48=""),"PERIKSA: adaptif=ya wajib ada kutipan. ","")&amp;IF(AND(R48="none",U48&lt;&gt;"n/a_tanpa_evaluasi",U48&lt;&gt;""),"PERIKSA: tanpa evaluasi, adaptif harus n/a. ","")&amp;IF(AND(OR(R48="author_run",R48="author_run+independent",R48="independent_only"),Q48=""),"PERIKSA: isi kelas_dievaluasi. ","")&amp;IF(AND(OR(R48="author_run",R48="author_run+independent",R48="independent_only"),W48=""),"PERIKSA: isi lokasi_bukti. ","")&amp;IF(AND(H48="tidak",R48&lt;&gt;""),"PERIKSA: tanpa teks lengkap, kosongkan kolom evaluasi. ",""))</f>
        <v/>
      </c>
      <c r="AC48" t="inlineStr">
        <is>
          <t>include</t>
        </is>
      </c>
    </row>
    <row r="49" ht="23.25" customHeight="1" s="21">
      <c r="A49" s="8" t="inlineStr">
        <is>
          <t>zhiqiang-2025-mindguard-intrinsic-decision-inspection-securing</t>
        </is>
      </c>
      <c r="B49" s="8" t="inlineStr">
        <is>
          <t>MindGuard: Intrinsic Decision Inspection for Securing LLM Agents Against Metadata Poisoning</t>
        </is>
      </c>
      <c r="C49" s="8" t="n">
        <v>2025</v>
      </c>
      <c r="D49" s="8" t="inlineStr">
        <is>
          <t>E2</t>
        </is>
      </c>
      <c r="E49" s="8" t="inlineStr">
        <is>
          <t>kandidat_agent</t>
        </is>
      </c>
      <c r="F49" s="8" t="inlineStr">
        <is>
          <t>primary</t>
        </is>
      </c>
      <c r="G49" s="9" t="inlineStr">
        <is>
          <t>https://arxiv.org/abs/2508.20412</t>
        </is>
      </c>
      <c r="H49" s="10" t="inlineStr">
        <is>
          <t>ya</t>
        </is>
      </c>
      <c r="I49" s="10" t="inlineStr">
        <is>
          <t>defense_primary</t>
        </is>
      </c>
      <c r="J49" s="10" t="inlineStr">
        <is>
          <t>MindGuard</t>
        </is>
      </c>
      <c r="K49" s="10" t="inlineStr">
        <is>
          <t>content_inspection_runtime</t>
        </is>
      </c>
      <c r="L49" s="10" t="inlineStr">
        <is>
          <t>Plugin inspeksi keputusan intrinsik yang menganalisis matriks aktivasi perhatian (DDG &amp; Total Attention Energy) pada LLM host untuk mendeteksi metadata poisoning tanpa model eksternal.</t>
        </is>
      </c>
      <c r="M49" s="10" t="inlineStr">
        <is>
          <t>ya</t>
        </is>
      </c>
      <c r="N49" s="10" t="inlineStr">
        <is>
          <t>C</t>
        </is>
      </c>
      <c r="O49" s="10" t="inlineStr">
        <is>
          <t>R2;R3</t>
        </is>
      </c>
      <c r="P49" s="10" t="inlineStr">
        <is>
          <t>A1;B3;B1</t>
        </is>
      </c>
      <c r="Q49" s="10" t="inlineStr">
        <is>
          <t>A1</t>
        </is>
      </c>
      <c r="R49" s="10" t="inlineStr">
        <is>
          <t>author_run</t>
        </is>
      </c>
      <c r="S49" s="10" t="n"/>
      <c r="T49" s="10" t="inlineStr">
        <is>
          <t>mixed</t>
        </is>
      </c>
      <c r="U49" s="10" t="inlineStr">
        <is>
          <t>ya</t>
        </is>
      </c>
      <c r="V49" s="10" t="inlineStr">
        <is>
          <t>Attacker crafts a subtle payload to alter LLM's decision without a detectable attention activation.</t>
        </is>
      </c>
      <c r="W49" s="10" t="inlineStr">
        <is>
          <t>Sec. 6.5; Fig. 8b; hal. 11</t>
        </is>
      </c>
      <c r="X49" s="10" t="inlineStr">
        <is>
          <t>none</t>
        </is>
      </c>
      <c r="Y49" s="10" t="inlineStr">
        <is>
          <t>Average Precision &gt; 97.6%, akurasi atribusi &gt; 98.6%, hemat 1,000+ token per invokasi, subsecond runtime cost</t>
        </is>
      </c>
      <c r="Z49" s="10" t="inlineStr">
        <is>
          <t>MindGuard mengekstraksi matriks atensi runtime LLM (TAE). Serangan adaptif Attention Minimization (Sec. 6.5, Fig. 8b). C4 ditolak. Catatan deployment: prototipe internal/eksperimental (belum dirilis secara publik).</t>
        </is>
      </c>
      <c r="AA49" s="11">
        <f>IF(I49="","",IF(OR(I49="attack",I49="survey_review",I49="benchmark_measurement",I49="position_other",I49="not_defense"),"n/a",IF(OR(X49="spec_normatif",X49="produksi_bukti_publik"),"L3",IF(ISNUMBER(SEARCH("independent",R49)),"L2",IF(R49="author_run","L1",IF(R49="none","L0",""))))))</f>
        <v/>
      </c>
      <c r="AB49" s="11">
        <f>IF(I49="","",IF(AND(K49="deterministic_policy",M49="ya"),"PERIKSA: deterministic_policy tetapi LLM/ML ada dalam keputusan. ","")&amp;IF(AND(U49="ya",V49=""),"PERIKSA: adaptif=ya wajib ada kutipan. ","")&amp;IF(AND(R49="none",U49&lt;&gt;"n/a_tanpa_evaluasi",U49&lt;&gt;""),"PERIKSA: tanpa evaluasi, adaptif harus n/a. ","")&amp;IF(AND(OR(R49="author_run",R49="author_run+independent",R49="independent_only"),Q49=""),"PERIKSA: isi kelas_dievaluasi. ","")&amp;IF(AND(OR(R49="author_run",R49="author_run+independent",R49="independent_only"),W49=""),"PERIKSA: isi lokasi_bukti. ","")&amp;IF(AND(H49="tidak",R49&lt;&gt;""),"PERIKSA: tanpa teks lengkap, kosongkan kolom evaluasi. ",""))</f>
        <v/>
      </c>
      <c r="AC49" t="inlineStr">
        <is>
          <t>include</t>
        </is>
      </c>
    </row>
    <row r="50" ht="23.25" customHeight="1" s="21">
      <c r="A50" s="8" t="inlineStr">
        <is>
          <t>zhiyang-2026-acle-mcp-attested-capability-leases</t>
        </is>
      </c>
      <c r="B50" s="8" t="inlineStr">
        <is>
          <t>ACLE-MCP: Attested Capability Leases for Execution-Time Trust in Remote LLM Tool Use</t>
        </is>
      </c>
      <c r="C50" s="8" t="n">
        <v>2026</v>
      </c>
      <c r="D50" s="8" t="inlineStr">
        <is>
          <t>E2</t>
        </is>
      </c>
      <c r="E50" s="8" t="inlineStr">
        <is>
          <t>kandidat_agent</t>
        </is>
      </c>
      <c r="F50" s="8" t="inlineStr">
        <is>
          <t>primary</t>
        </is>
      </c>
      <c r="G50" s="9" t="inlineStr">
        <is>
          <t>https://arxiv.org/abs/2609.02690</t>
        </is>
      </c>
      <c r="H50" s="10" t="inlineStr">
        <is>
          <t>ya</t>
        </is>
      </c>
      <c r="I50" s="10" t="inlineStr">
        <is>
          <t>defense_primary</t>
        </is>
      </c>
      <c r="J50" s="10" t="inlineStr">
        <is>
          <t>ACLE-MCP</t>
        </is>
      </c>
      <c r="K50" s="10" t="inlineStr">
        <is>
          <t>protocol_provision</t>
        </is>
      </c>
      <c r="L50" s="10" t="inlineStr">
        <is>
          <t>Arsitektur capability lease berlingkup invokasi dengan atestasi vTPM dan Execution Gate pada sisi penyedia alat untuk memvalidasi beban kerja dan memitigasi celah kepercayaan pasca-otorisasi remote MCP.</t>
        </is>
      </c>
      <c r="M50" s="10" t="inlineStr">
        <is>
          <t>tidak</t>
        </is>
      </c>
      <c r="N50" s="10" t="inlineStr">
        <is>
          <t>S</t>
        </is>
      </c>
      <c r="O50" s="10" t="inlineStr">
        <is>
          <t>R2;R3</t>
        </is>
      </c>
      <c r="P50" s="10" t="inlineStr">
        <is>
          <t>A3;C1;C3;D3</t>
        </is>
      </c>
      <c r="Q50" s="10" t="inlineStr">
        <is>
          <t>A3;C1;C3;D3</t>
        </is>
      </c>
      <c r="R50" s="10" t="inlineStr">
        <is>
          <t>author_run</t>
        </is>
      </c>
      <c r="S50" s="10" t="n"/>
      <c r="T50" s="10" t="inlineStr">
        <is>
          <t>authors_own</t>
        </is>
      </c>
      <c r="U50" s="10" t="inlineStr">
        <is>
          <t>tidak</t>
        </is>
      </c>
      <c r="V50" s="10" t="n"/>
      <c r="W50" s="10" t="inlineStr">
        <is>
          <t>Sec. Evaluation, Tabel 1 &amp; Gbr 3, hal. 6-8</t>
        </is>
      </c>
      <c r="X50" s="10" t="inlineStr">
        <is>
          <t>none</t>
        </is>
      </c>
      <c r="Y50" s="10" t="inlineStr">
        <is>
          <t>P95 latency overhead 25.7% (normal allowed calls) vs OAuth-only; memblokir 100% keluarga serangan yang dievaluasi</t>
        </is>
      </c>
      <c r="Z50" s="10" t="inlineStr">
        <is>
          <t>KODER 1 menandai teks lengkap. Arsitektur capability lease berlingkup invokasi dengan atestasi vTPM dan Execution Gate pada sisi server MCP untuk menutup celah post-authorization trust gap. Catatan deployment: prototipe internal/eksperimental (belum dirilis secara publik).</t>
        </is>
      </c>
      <c r="AA50" s="11">
        <f>IF(I50="","",IF(OR(I50="attack",I50="survey_review",I50="benchmark_measurement",I50="position_other",I50="not_defense"),"n/a",IF(OR(X50="spec_normatif",X50="produksi_bukti_publik"),"L3",IF(ISNUMBER(SEARCH("independent",R50)),"L2",IF(R50="author_run","L1",IF(R50="none","L0",""))))))</f>
        <v/>
      </c>
      <c r="AB50" s="11">
        <f>IF(I50="","",IF(AND(K50="deterministic_policy",M50="ya"),"PERIKSA: deterministic_policy tetapi LLM/ML ada dalam keputusan. ","")&amp;IF(AND(U50="ya",V50=""),"PERIKSA: adaptif=ya wajib ada kutipan. ","")&amp;IF(AND(R50="none",U50&lt;&gt;"n/a_tanpa_evaluasi",U50&lt;&gt;""),"PERIKSA: tanpa evaluasi, adaptif harus n/a. ","")&amp;IF(AND(OR(R50="author_run",R50="author_run+independent",R50="independent_only"),Q50=""),"PERIKSA: isi kelas_dievaluasi. ","")&amp;IF(AND(OR(R50="author_run",R50="author_run+independent",R50="independent_only"),W50=""),"PERIKSA: isi lokasi_bukti. ","")&amp;IF(AND(H50="tidak",R50&lt;&gt;""),"PERIKSA: tanpa teks lengkap, kosongkan kolom evaluasi. ",""))</f>
        <v/>
      </c>
      <c r="AC50" t="inlineStr">
        <is>
          <t>include</t>
        </is>
      </c>
    </row>
    <row r="51" ht="23.25" customHeight="1" s="21">
      <c r="A51" s="8" t="inlineStr">
        <is>
          <t>zhonghao-2025-aegismcp-online-graph-intrusion-detection</t>
        </is>
      </c>
      <c r="B51" s="8" t="inlineStr">
        <is>
          <t>AegisMCP: Online Graph Intrusion Detection for Tool-Augmented LLMs on Edge Devices</t>
        </is>
      </c>
      <c r="C51" s="8" t="n">
        <v>2025</v>
      </c>
      <c r="D51" s="8" t="inlineStr">
        <is>
          <t>E2</t>
        </is>
      </c>
      <c r="E51" s="8" t="inlineStr">
        <is>
          <t>kandidat_agent</t>
        </is>
      </c>
      <c r="F51" s="8" t="inlineStr">
        <is>
          <t>primary</t>
        </is>
      </c>
      <c r="G51" s="9" t="inlineStr">
        <is>
          <t>https://arxiv.org/abs/2510.19462</t>
        </is>
      </c>
      <c r="H51" s="10" t="inlineStr">
        <is>
          <t>ya</t>
        </is>
      </c>
      <c r="I51" s="10" t="inlineStr">
        <is>
          <t>defense_primary</t>
        </is>
      </c>
      <c r="J51" s="10" t="inlineStr">
        <is>
          <t>AegisMCP</t>
        </is>
      </c>
      <c r="K51" s="10" t="inlineStr">
        <is>
          <t>content_inspection_runtime</t>
        </is>
      </c>
      <c r="L51" s="10" t="inlineStr">
        <is>
          <t>Sistem deteksi intrusi tingkat protokol berbasis graf temporal heterogen (NEBULA-Schema) yang mendeteksi anomali perilaku dan chaining alat MCP secara near-real-time pada perangkat edge.</t>
        </is>
      </c>
      <c r="M51" s="10" t="inlineStr">
        <is>
          <t>tidak</t>
        </is>
      </c>
      <c r="N51" s="10" t="inlineStr">
        <is>
          <t>gateway_proxy</t>
        </is>
      </c>
      <c r="O51" s="10" t="inlineStr">
        <is>
          <t>R2;R7</t>
        </is>
      </c>
      <c r="P51" s="10" t="inlineStr">
        <is>
          <t>A2;A3;B1;D3</t>
        </is>
      </c>
      <c r="Q51" s="10" t="inlineStr">
        <is>
          <t>A2;A3;D3</t>
        </is>
      </c>
      <c r="R51" s="10" t="inlineStr">
        <is>
          <t>author_run</t>
        </is>
      </c>
      <c r="S51" s="10" t="n"/>
      <c r="T51" s="10" t="inlineStr">
        <is>
          <t>authors_own</t>
        </is>
      </c>
      <c r="U51" s="10" t="inlineStr">
        <is>
          <t>tidak</t>
        </is>
      </c>
      <c r="V51" s="10" t="n"/>
      <c r="W51" s="10" t="inlineStr">
        <is>
          <t>Sec. VI, Tabel II, Gambar 4, hal. 7-10</t>
        </is>
      </c>
      <c r="X51" s="10" t="inlineStr">
        <is>
          <t>none</t>
        </is>
      </c>
      <c r="Y51" s="10" t="inlineStr">
        <is>
          <t>Sub-second latency (inferensi per jendela &lt; 1s pada Intel N150-class CPU edge hardware); F1 &gt; 0.92</t>
        </is>
      </c>
      <c r="Z51" s="10" t="inlineStr">
        <is>
          <t>KODER 1 menandai teks lengkap. Detektor intrusi streaming berbasis representasi graf temporal (NEBULA-Schema) berjalan di CPU edge tanpa LLM. Evasion dianalisis secara kualitatif di Sec. C. Catatan deployment: prototipe internal/eksperimental (belum dirilis secara publik).</t>
        </is>
      </c>
      <c r="AA51" s="11">
        <f>IF(I51="","",IF(OR(I51="attack",I51="survey_review",I51="benchmark_measurement",I51="position_other",I51="not_defense"),"n/a",IF(OR(X51="spec_normatif",X51="produksi_bukti_publik"),"L3",IF(ISNUMBER(SEARCH("independent",R51)),"L2",IF(R51="author_run","L1",IF(R51="none","L0",""))))))</f>
        <v/>
      </c>
      <c r="AB51" s="11">
        <f>IF(I51="","",IF(AND(K51="deterministic_policy",M51="ya"),"PERIKSA: deterministic_policy tetapi LLM/ML ada dalam keputusan. ","")&amp;IF(AND(U51="ya",V51=""),"PERIKSA: adaptif=ya wajib ada kutipan. ","")&amp;IF(AND(R51="none",U51&lt;&gt;"n/a_tanpa_evaluasi",U51&lt;&gt;""),"PERIKSA: tanpa evaluasi, adaptif harus n/a. ","")&amp;IF(AND(OR(R51="author_run",R51="author_run+independent",R51="independent_only"),Q51=""),"PERIKSA: isi kelas_dievaluasi. ","")&amp;IF(AND(OR(R51="author_run",R51="author_run+independent",R51="independent_only"),W51=""),"PERIKSA: isi lokasi_bukti. ","")&amp;IF(AND(H51="tidak",R51&lt;&gt;""),"PERIKSA: tanpa teks lengkap, kosongkan kolom evaluasi. ",""))</f>
        <v/>
      </c>
      <c r="AC51" t="inlineStr">
        <is>
          <t>include</t>
        </is>
      </c>
    </row>
    <row r="52" ht="23.25" customHeight="1" s="21">
      <c r="A52" s="8" t="inlineStr">
        <is>
          <t>zhuoran-2026-mcp-sandboxscan-wasm-based-secure</t>
        </is>
      </c>
      <c r="B52" s="8" t="inlineStr">
        <is>
          <t>MCP-SandboxScan: WASM-based Secure Execution and Runtime Analysis for MCP Tools</t>
        </is>
      </c>
      <c r="C52" s="8" t="n">
        <v>2026</v>
      </c>
      <c r="D52" s="8" t="inlineStr">
        <is>
          <t>E2</t>
        </is>
      </c>
      <c r="E52" s="8" t="inlineStr">
        <is>
          <t>kandidat_agent</t>
        </is>
      </c>
      <c r="F52" s="8" t="inlineStr">
        <is>
          <t>primary</t>
        </is>
      </c>
      <c r="G52" s="9" t="inlineStr">
        <is>
          <t>https://arxiv.org/abs/2601.01241</t>
        </is>
      </c>
      <c r="H52" s="10" t="inlineStr">
        <is>
          <t>ya</t>
        </is>
      </c>
      <c r="I52" s="10" t="inlineStr">
        <is>
          <t>defense_primary</t>
        </is>
      </c>
      <c r="J52" s="10" t="inlineStr">
        <is>
          <t>MCP-SandboxScan (SandScope)</t>
        </is>
      </c>
      <c r="K52" s="10" t="inlineStr">
        <is>
          <t>isolation_containment</t>
        </is>
      </c>
      <c r="L52" s="10" t="inlineStr">
        <is>
          <t>Kerangka kerja audit dan sandboxing berbasis WASM/WASI yang mengisolasi eksekusi alat MCP dan mendeteksi runtime witness kebocoran data sumber-ke-muara (canary) pada output protokol.</t>
        </is>
      </c>
      <c r="M52" s="10" t="inlineStr">
        <is>
          <t>tidak</t>
        </is>
      </c>
      <c r="N52" s="10" t="inlineStr">
        <is>
          <t>gateway_proxy</t>
        </is>
      </c>
      <c r="O52" s="10" t="inlineStr">
        <is>
          <t>R2;R5;R6</t>
        </is>
      </c>
      <c r="P52" s="10" t="inlineStr">
        <is>
          <t>A2;D1;D3</t>
        </is>
      </c>
      <c r="Q52" s="10" t="inlineStr">
        <is>
          <t>A2;D1</t>
        </is>
      </c>
      <c r="R52" s="10" t="inlineStr">
        <is>
          <t>author_run</t>
        </is>
      </c>
      <c r="S52" s="10" t="n"/>
      <c r="T52" s="10" t="inlineStr">
        <is>
          <t>mixed</t>
        </is>
      </c>
      <c r="U52" s="10" t="inlineStr">
        <is>
          <t>tidak</t>
        </is>
      </c>
      <c r="V52" s="10" t="n"/>
      <c r="W52" s="10" t="inlineStr">
        <is>
          <t>Sec. 4, Tabel 1 &amp; 2, hal. 7-10</t>
        </is>
      </c>
      <c r="X52" s="10" t="inlineStr">
        <is>
          <t>none</t>
        </is>
      </c>
      <c r="Y52" s="10" t="inlineStr">
        <is>
          <t>Shallow dynamic scan 35 repo, latensi scan ~detik, deteksi kebocoran canary akurat</t>
        </is>
      </c>
      <c r="Z52" s="10" t="inlineStr">
        <is>
          <t>KODER 1 menandai teks lengkap. SandScope menggabungkan sandboxing WASM/WASI dengan deteksi saksi aliran data (canary) dan profiling semantik tools/list. Pengujian transformasi mencakup ROT13, hex, base64. Catatan deployment: prototipe internal/eksperimental (belum dirilis secara publik).</t>
        </is>
      </c>
      <c r="AA52" s="11">
        <f>IF(I52="","",IF(OR(I52="attack",I52="survey_review",I52="benchmark_measurement",I52="position_other",I52="not_defense"),"n/a",IF(OR(X52="spec_normatif",X52="produksi_bukti_publik"),"L3",IF(ISNUMBER(SEARCH("independent",R52)),"L2",IF(R52="author_run","L1",IF(R52="none","L0",""))))))</f>
        <v/>
      </c>
      <c r="AB52" s="11">
        <f>IF(I52="","",IF(AND(K52="deterministic_policy",M52="ya"),"PERIKSA: deterministic_policy tetapi LLM/ML ada dalam keputusan. ","")&amp;IF(AND(U52="ya",V52=""),"PERIKSA: adaptif=ya wajib ada kutipan. ","")&amp;IF(AND(R52="none",U52&lt;&gt;"n/a_tanpa_evaluasi",U52&lt;&gt;""),"PERIKSA: tanpa evaluasi, adaptif harus n/a. ","")&amp;IF(AND(OR(R52="author_run",R52="author_run+independent",R52="independent_only"),Q52=""),"PERIKSA: isi kelas_dievaluasi. ","")&amp;IF(AND(OR(R52="author_run",R52="author_run+independent",R52="independent_only"),W52=""),"PERIKSA: isi lokasi_bukti. ","")&amp;IF(AND(H52="tidak",R52&lt;&gt;""),"PERIKSA: tanpa teks lengkap, kosongkan kolom evaluasi. ",""))</f>
        <v/>
      </c>
      <c r="AC52" t="inlineStr">
        <is>
          <t>include</t>
        </is>
      </c>
    </row>
    <row r="53" ht="23.25" customHeight="1" s="21">
      <c r="A53" s="8" t="inlineStr">
        <is>
          <t>gabriela-2025-security-posture-evaluation-model-context</t>
        </is>
      </c>
      <c r="B53" s="8" t="inlineStr">
        <is>
          <t>Security Posture Evaluation of Model Context Protocol Servers Against Prompt Injection</t>
        </is>
      </c>
      <c r="C53" s="8" t="n">
        <v>2025</v>
      </c>
      <c r="D53" s="8" t="inlineStr">
        <is>
          <t>E1</t>
        </is>
      </c>
      <c r="E53" s="8" t="inlineStr">
        <is>
          <t>kandidat_agent</t>
        </is>
      </c>
      <c r="F53" s="8" t="inlineStr">
        <is>
          <t>proposal_only</t>
        </is>
      </c>
      <c r="G53" s="9" t="inlineStr">
        <is>
          <t>https://doi.org/10.1109/siitme67657.2025.11293682</t>
        </is>
      </c>
      <c r="H53" s="10" t="inlineStr">
        <is>
          <t>tidak</t>
        </is>
      </c>
      <c r="I53" s="10" t="inlineStr">
        <is>
          <t>benchmark_measurement</t>
        </is>
      </c>
      <c r="J53" s="10" t="n"/>
      <c r="K53" s="10" t="n"/>
      <c r="L53" s="10" t="n"/>
      <c r="M53" s="10" t="n"/>
      <c r="N53" s="10" t="n"/>
      <c r="O53" s="10" t="n"/>
      <c r="P53" s="10" t="n"/>
      <c r="Q53" s="10" t="n"/>
      <c r="R53" s="10" t="n"/>
      <c r="S53" s="10" t="n"/>
      <c r="T53" s="10" t="n"/>
      <c r="U53" s="10" t="n"/>
      <c r="V53" s="10" t="n"/>
      <c r="W53" s="10" t="n"/>
      <c r="X53" s="10" t="n"/>
      <c r="Y53" s="10" t="n"/>
      <c r="Z53" s="10" t="inlineStr">
        <is>
          <t>[NON-OA / ABSTRACT-ONLY] Makalah IEEE SIITME 2025 dengan akses tertutup (DOI: 10.1109/siitme67657.2025.11293682). Studi evaluasi postur keamanan server MCP terhadap prompt injection (studi pengukuran/evaluasi empiris tanpa usulan mitigasi baru). KODER 1 menandai proposal_only secara otomatis.</t>
        </is>
      </c>
      <c r="AA53" s="11">
        <f>IF(I53="","",IF(OR(I53="attack",I53="survey_review",I53="benchmark_measurement",I53="position_other",I53="not_defense"),"n/a",IF(OR(X53="spec_normatif",X53="produksi_bukti_publik"),"L3",IF(ISNUMBER(SEARCH("independent",R53)),"L2",IF(R53="author_run","L1",IF(R53="none","L0",""))))))</f>
        <v/>
      </c>
      <c r="AB53" s="11">
        <f>IF(I53="","",IF(AND(K53="deterministic_policy",M53="ya"),"PERIKSA: deterministic_policy tetapi LLM/ML ada dalam keputusan. ","")&amp;IF(AND(U53="ya",V53=""),"PERIKSA: adaptif=ya wajib ada kutipan. ","")&amp;IF(AND(R53="none",U53&lt;&gt;"n/a_tanpa_evaluasi",U53&lt;&gt;""),"PERIKSA: tanpa evaluasi, adaptif harus n/a. ","")&amp;IF(AND(OR(R53="author_run",R53="author_run+independent",R53="independent_only"),Q53=""),"PERIKSA: isi kelas_dievaluasi. ","")&amp;IF(AND(OR(R53="author_run",R53="author_run+independent",R53="independent_only"),W53=""),"PERIKSA: isi lokasi_bukti. ","")&amp;IF(AND(H53="tidak",R53&lt;&gt;""),"PERIKSA: tanpa teks lengkap, kosongkan kolom evaluasi. ",""))</f>
        <v/>
      </c>
      <c r="AC53" t="inlineStr">
        <is>
          <t>include</t>
        </is>
      </c>
    </row>
    <row r="54" ht="23.25" customHeight="1" s="21">
      <c r="A54" s="8" t="inlineStr">
        <is>
          <t>grigoris-2025-securing-mcp-based-agent-workflows</t>
        </is>
      </c>
      <c r="B54" s="8" t="inlineStr">
        <is>
          <t>Securing MCP-based Agent Workflows</t>
        </is>
      </c>
      <c r="C54" s="8" t="n">
        <v>2025</v>
      </c>
      <c r="D54" s="8" t="inlineStr">
        <is>
          <t>E1</t>
        </is>
      </c>
      <c r="E54" s="8" t="inlineStr">
        <is>
          <t>kandidat_agent</t>
        </is>
      </c>
      <c r="F54" s="8" t="inlineStr">
        <is>
          <t>proposal_only</t>
        </is>
      </c>
      <c r="G54" s="9" t="inlineStr">
        <is>
          <t>https://doi.org/10.1145/3766882.3767177</t>
        </is>
      </c>
      <c r="H54" s="10" t="inlineStr">
        <is>
          <t>ya</t>
        </is>
      </c>
      <c r="I54" s="10" t="inlineStr">
        <is>
          <t>defense_primary</t>
        </is>
      </c>
      <c r="J54" s="10" t="inlineStr">
        <is>
          <t>SAMOS</t>
        </is>
      </c>
      <c r="K54" s="10" t="inlineStr">
        <is>
          <t>deterministic_policy</t>
        </is>
      </c>
      <c r="L54" s="10" t="inlineStr">
        <is>
          <t>Sistem Information Flow Control (IFC) tingkat gateway MCP yang menegakkan kebijakan keamanan berbasis label kerahasiaan read/write dan anotasi kapabilitas tool.</t>
        </is>
      </c>
      <c r="M54" s="10" t="inlineStr">
        <is>
          <t>tidak</t>
        </is>
      </c>
      <c r="N54" s="10" t="inlineStr">
        <is>
          <t>gateway_proxy</t>
        </is>
      </c>
      <c r="O54" s="10" t="inlineStr">
        <is>
          <t>R2;R3;R5</t>
        </is>
      </c>
      <c r="P54" s="10" t="inlineStr">
        <is>
          <t>A2;D1;D2</t>
        </is>
      </c>
      <c r="Q54" s="10" t="inlineStr">
        <is>
          <t>A2;D1;D2</t>
        </is>
      </c>
      <c r="R54" s="10" t="inlineStr">
        <is>
          <t>author_run</t>
        </is>
      </c>
      <c r="S54" s="10" t="n"/>
      <c r="T54" s="10" t="inlineStr">
        <is>
          <t>authors_own</t>
        </is>
      </c>
      <c r="U54" s="10" t="inlineStr">
        <is>
          <t>tidak</t>
        </is>
      </c>
      <c r="V54" s="10" t="n"/>
      <c r="W54" s="10" t="inlineStr">
        <is>
          <t>Sec. 3-4, Tabel 1, hal. 3-5</t>
        </is>
      </c>
      <c r="X54" s="10" t="inlineStr">
        <is>
          <t>none</t>
        </is>
      </c>
      <c r="Y54" s="10" t="inlineStr">
        <is>
          <t>not_reported</t>
        </is>
      </c>
      <c r="Z54" s="10" t="inlineStr">
        <is>
          <t>Teks lengkap tersedia di papers/acm. Validasi studi kasus nyata pencegahan kebocoran repositori privat GitHub MCP server di Claude Desktop.</t>
        </is>
      </c>
      <c r="AA54" s="11">
        <f>IF(I54="","",IF(OR(I54="attack",I54="survey_review",I54="benchmark_measurement",I54="position_other",I54="not_defense"),"n/a",IF(OR(X54="spec_normatif",X54="produksi_bukti_publik"),"L3",IF(ISNUMBER(SEARCH("independent",R54)),"L2",IF(R54="author_run","L1",IF(R54="none","L0",""))))))</f>
        <v/>
      </c>
      <c r="AB54" s="11">
        <f>IF(I54="","",IF(AND(K54="deterministic_policy",M54="ya"),"PERIKSA: deterministic_policy tetapi LLM/ML ada dalam keputusan. ","")&amp;IF(AND(U54="ya",V54=""),"PERIKSA: adaptif=ya wajib ada kutipan. ","")&amp;IF(AND(R54="none",U54&lt;&gt;"n/a_tanpa_evaluasi",U54&lt;&gt;""),"PERIKSA: tanpa evaluasi, adaptif harus n/a. ","")&amp;IF(AND(OR(R54="author_run",R54="author_run+independent",R54="independent_only"),Q54=""),"PERIKSA: isi kelas_dievaluasi. ","")&amp;IF(AND(OR(R54="author_run",R54="author_run+independent",R54="independent_only"),W54=""),"PERIKSA: isi lokasi_bukti. ","")&amp;IF(AND(H54="tidak",R54&lt;&gt;""),"PERIKSA: tanpa teks lengkap, kosongkan kolom evaluasi. ",""))</f>
        <v/>
      </c>
      <c r="AC54" t="inlineStr">
        <is>
          <t>include</t>
        </is>
      </c>
    </row>
    <row r="55" ht="23.25" customHeight="1" s="21">
      <c r="A55" s="8" t="inlineStr">
        <is>
          <t>herman-2025-securing-model-context-protocol-mcp</t>
        </is>
      </c>
      <c r="B55" s="8" t="inlineStr">
        <is>
          <t>Securing the Model Context Protocol (MCP): Risks, Controls, and Governance</t>
        </is>
      </c>
      <c r="C55" s="8" t="n">
        <v>2025</v>
      </c>
      <c r="D55" s="8" t="inlineStr">
        <is>
          <t>E2</t>
        </is>
      </c>
      <c r="E55" s="8" t="inlineStr">
        <is>
          <t>kandidat_agent</t>
        </is>
      </c>
      <c r="F55" s="8" t="inlineStr">
        <is>
          <t>proposal_only</t>
        </is>
      </c>
      <c r="G55" s="9" t="inlineStr">
        <is>
          <t>https://arxiv.org/abs/2511.20920</t>
        </is>
      </c>
      <c r="H55" s="10" t="inlineStr">
        <is>
          <t>ya</t>
        </is>
      </c>
      <c r="I55" s="10" t="inlineStr">
        <is>
          <t>proposal_only</t>
        </is>
      </c>
      <c r="J55" s="10" t="inlineStr">
        <is>
          <t>MCP Defense-in-Depth Control Framework</t>
        </is>
      </c>
      <c r="K55" s="10" t="inlineStr">
        <is>
          <t>deterministic_policy</t>
        </is>
      </c>
      <c r="L55" s="10" t="inlineStr">
        <is>
          <t>Kerangka kerja kontrol pertahanan berlapis dan arsitektur gateway yang menerapkan autentikasi granular, pelacakan provenansi, sandboxing kontainer, dan penegakan kebijakan inline DLP untuk MCP enterprise.</t>
        </is>
      </c>
      <c r="M55" s="10" t="inlineStr">
        <is>
          <t>tidak</t>
        </is>
      </c>
      <c r="N55" s="10" t="inlineStr">
        <is>
          <t>gateway_proxy</t>
        </is>
      </c>
      <c r="O55" s="10" t="inlineStr">
        <is>
          <t>R1;R2;R4;R5;R6;R7</t>
        </is>
      </c>
      <c r="P55" s="10" t="inlineStr">
        <is>
          <t>A1;A2;A3;B1;B2;C3;D3</t>
        </is>
      </c>
      <c r="Q55" s="10" t="n"/>
      <c r="R55" s="10" t="inlineStr">
        <is>
          <t>none</t>
        </is>
      </c>
      <c r="S55" s="10" t="n"/>
      <c r="T55" s="10" t="inlineStr">
        <is>
          <t>none</t>
        </is>
      </c>
      <c r="U55" s="10" t="inlineStr">
        <is>
          <t>n/a_tanpa_evaluasi</t>
        </is>
      </c>
      <c r="V55" s="10" t="n"/>
      <c r="W55" s="10" t="inlineStr">
        <is>
          <t>Sec. 4 &amp; 5, hal. 8-15</t>
        </is>
      </c>
      <c r="X55" s="10" t="inlineStr">
        <is>
          <t>none</t>
        </is>
      </c>
      <c r="Y55" s="10" t="inlineStr">
        <is>
          <t>not_reported</t>
        </is>
      </c>
      <c r="Z55" s="10" t="inlineStr">
        <is>
          <t>Makalah usulan kontrol pertahanan berlapis (Vanta &amp; MintMCP) tanpa pengujian empiris kuantitatif terhadap dataset serangan. Penulis menyatakan tidak menyajikan tolok ukur biaya penegakan. KODER 1 menandai teks lengkap.</t>
        </is>
      </c>
      <c r="AA55" s="11">
        <f>IF(I55="","",IF(OR(I55="attack",I55="survey_review",I55="benchmark_measurement",I55="position_other",I55="not_defense"),"n/a",IF(OR(X55="spec_normatif",X55="produksi_bukti_publik"),"L3",IF(ISNUMBER(SEARCH("independent",R55)),"L2",IF(R55="author_run","L1",IF(R55="none","L0",""))))))</f>
        <v/>
      </c>
      <c r="AB55" s="11">
        <f>IF(I55="","",IF(AND(K55="deterministic_policy",M55="ya"),"PERIKSA: deterministic_policy tetapi LLM/ML ada dalam keputusan. ","")&amp;IF(AND(U55="ya",V55=""),"PERIKSA: adaptif=ya wajib ada kutipan. ","")&amp;IF(AND(R55="none",U55&lt;&gt;"n/a_tanpa_evaluasi",U55&lt;&gt;""),"PERIKSA: tanpa evaluasi, adaptif harus n/a. ","")&amp;IF(AND(OR(R55="author_run",R55="author_run+independent",R55="independent_only"),Q55=""),"PERIKSA: isi kelas_dievaluasi. ","")&amp;IF(AND(OR(R55="author_run",R55="author_run+independent",R55="independent_only"),W55=""),"PERIKSA: isi lokasi_bukti. ","")&amp;IF(AND(H55="tidak",R55&lt;&gt;""),"PERIKSA: tanpa teks lengkap, kosongkan kolom evaluasi. ",""))</f>
        <v/>
      </c>
      <c r="AC55" t="inlineStr">
        <is>
          <t>include</t>
        </is>
      </c>
    </row>
    <row r="56" ht="23.25" customHeight="1" s="21">
      <c r="A56" s="8" t="inlineStr">
        <is>
          <t>jaehyun-2025-preserving-onem2m-security-semantics-llm</t>
        </is>
      </c>
      <c r="B56" s="8" t="inlineStr">
        <is>
          <t>Preserving oneM2M Security Semantics in LLM-IoT Integration with Model Context Protocol</t>
        </is>
      </c>
      <c r="C56" s="8" t="n">
        <v>2025</v>
      </c>
      <c r="D56" s="8" t="inlineStr">
        <is>
          <t>E1</t>
        </is>
      </c>
      <c r="E56" s="8" t="inlineStr">
        <is>
          <t>kandidat_agent</t>
        </is>
      </c>
      <c r="F56" s="8" t="inlineStr">
        <is>
          <t>proposal_only</t>
        </is>
      </c>
      <c r="G56" s="9" t="inlineStr">
        <is>
          <t>https://doi.org/10.1109/AIoT66900.2025.00032</t>
        </is>
      </c>
      <c r="H56" s="10" t="inlineStr">
        <is>
          <t>ya</t>
        </is>
      </c>
      <c r="I56" s="10" t="inlineStr">
        <is>
          <t>defense_primary</t>
        </is>
      </c>
      <c r="J56" s="10" t="inlineStr">
        <is>
          <t>MCP-IPE (MCP Interworking Proxy Entity)</t>
        </is>
      </c>
      <c r="K56" s="10" t="inlineStr">
        <is>
          <t>deterministic_policy</t>
        </is>
      </c>
      <c r="L56" s="10" t="inlineStr">
        <is>
          <t>Proxy interworking yang memvalidasi Personal Access Token (PAT) agen, mengikat AE-ID, dan menegakkan kebijakan kontrol akses (ACP) oneM2M deny-by-default.</t>
        </is>
      </c>
      <c r="M56" s="10" t="inlineStr">
        <is>
          <t>tidak</t>
        </is>
      </c>
      <c r="N56" s="10" t="inlineStr">
        <is>
          <t>gateway_proxy</t>
        </is>
      </c>
      <c r="O56" s="10" t="inlineStr">
        <is>
          <t>R1;R2;R3;R5</t>
        </is>
      </c>
      <c r="P56" s="10" t="inlineStr">
        <is>
          <t>C1;C3;OUT_OF_TAXONOMY:resource_abuse</t>
        </is>
      </c>
      <c r="Q56" s="10" t="inlineStr">
        <is>
          <t>C1;C3;OUT_OF_TAXONOMY:resource_abuse</t>
        </is>
      </c>
      <c r="R56" s="10" t="inlineStr">
        <is>
          <t>author_run</t>
        </is>
      </c>
      <c r="S56" s="10" t="n"/>
      <c r="T56" s="10" t="inlineStr">
        <is>
          <t>authors_own</t>
        </is>
      </c>
      <c r="U56" s="10" t="inlineStr">
        <is>
          <t>tidak</t>
        </is>
      </c>
      <c r="V56" s="10" t="n"/>
      <c r="W56" s="10" t="inlineStr">
        <is>
          <t>Sec. VI, Gbr 6, hal. 5-7</t>
        </is>
      </c>
      <c r="X56" s="10" t="inlineStr">
        <is>
          <t>none</t>
        </is>
      </c>
      <c r="Y56" s="10" t="inlineStr">
        <is>
          <t>dilaporkan: acceptance rate pada 100 percobaan per 8 skenario STRIDE (Gbr 6)</t>
        </is>
      </c>
      <c r="Z56" s="10" t="inlineStr">
        <is>
          <t>MCP-IPE (defense_primary, L1). Penegakan ACP deny-by-default (C1), autentikasi token tidak valid (C3), dan mitigasi rate-burst 429 flooding (STRIDE DoS -&gt; OUT_OF_TAXONOMY:resource_abuse) pada 8 skenario x 100 percobaan (Gbr 6).</t>
        </is>
      </c>
      <c r="AA56" s="11">
        <f>IF(I56="","",IF(OR(I56="attack",I56="survey_review",I56="benchmark_measurement",I56="position_other",I56="not_defense"),"n/a",IF(OR(X56="spec_normatif",X56="produksi_bukti_publik"),"L3",IF(ISNUMBER(SEARCH("independent",R56)),"L2",IF(R56="author_run","L1",IF(R56="none","L0",""))))))</f>
        <v/>
      </c>
      <c r="AB56" s="11">
        <f>IF(I56="","",IF(AND(K56="deterministic_policy",M56="ya"),"PERIKSA: deterministic_policy tetapi LLM/ML ada dalam keputusan. ","")&amp;IF(AND(U56="ya",V56=""),"PERIKSA: adaptif=ya wajib ada kutipan. ","")&amp;IF(AND(R56="none",U56&lt;&gt;"n/a_tanpa_evaluasi",U56&lt;&gt;""),"PERIKSA: tanpa evaluasi, adaptif harus n/a. ","")&amp;IF(AND(OR(R56="author_run",R56="author_run+independent",R56="independent_only"),Q56=""),"PERIKSA: isi kelas_dievaluasi. ","")&amp;IF(AND(OR(R56="author_run",R56="author_run+independent",R56="independent_only"),W56=""),"PERIKSA: isi lokasi_bukti. ","")&amp;IF(AND(H56="tidak",R56&lt;&gt;""),"PERIKSA: tanpa teks lengkap, kosongkan kolom evaluasi. ",""))</f>
        <v/>
      </c>
      <c r="AC56" t="inlineStr">
        <is>
          <t>include</t>
        </is>
      </c>
    </row>
    <row r="57" ht="23.25" customHeight="1" s="21">
      <c r="A57" s="8" t="inlineStr">
        <is>
          <t>jayson-2026-security-defense-mechanisms-model-context</t>
        </is>
      </c>
      <c r="B57" s="8" t="inlineStr">
        <is>
          <t>Security Defense Mechanisms in Model Context Protocol Implementations: A Systematic Literature Review</t>
        </is>
      </c>
      <c r="C57" s="8" t="n">
        <v>2026</v>
      </c>
      <c r="D57" s="8" t="inlineStr">
        <is>
          <t>E1</t>
        </is>
      </c>
      <c r="E57" s="8" t="inlineStr">
        <is>
          <t>kandidat_agent</t>
        </is>
      </c>
      <c r="F57" s="8" t="inlineStr">
        <is>
          <t>proposal_only</t>
        </is>
      </c>
      <c r="G57" s="9" t="inlineStr">
        <is>
          <t>https://doi.org/10.1007/978-3-032-25187-9_44</t>
        </is>
      </c>
      <c r="H57" s="10" t="inlineStr">
        <is>
          <t>ya</t>
        </is>
      </c>
      <c r="I57" s="10" t="inlineStr">
        <is>
          <t>survey_review</t>
        </is>
      </c>
      <c r="J57" s="10" t="n"/>
      <c r="K57" s="10" t="n"/>
      <c r="L57" s="10" t="n"/>
      <c r="M57" s="10" t="n"/>
      <c r="N57" s="10" t="n"/>
      <c r="O57" s="10" t="n"/>
      <c r="P57" s="10" t="n"/>
      <c r="Q57" s="10" t="n"/>
      <c r="R57" s="10" t="n"/>
      <c r="S57" s="10" t="n"/>
      <c r="T57" s="10" t="n"/>
      <c r="U57" s="10" t="n"/>
      <c r="V57" s="10" t="n"/>
      <c r="W57" s="10" t="n"/>
      <c r="X57" s="10" t="n"/>
      <c r="Y57" s="10" t="n"/>
      <c r="Z57" s="10" t="inlineStr">
        <is>
          <t>Teks lengkap tersedia di papers/springer. Tinjauan literatur sistematis (PRISMA) atas 73 studi pertahanan MCP (2022-2025). Mengonfirmasi hanya 23.3% studi melaporkan efektivitas kuantitatif.</t>
        </is>
      </c>
      <c r="AA57" s="11">
        <f>IF(I57="","",IF(OR(I57="attack",I57="survey_review",I57="benchmark_measurement",I57="position_other",I57="not_defense"),"n/a",IF(OR(X57="spec_normatif",X57="produksi_bukti_publik"),"L3",IF(ISNUMBER(SEARCH("independent",R57)),"L2",IF(R57="author_run","L1",IF(R57="none","L0",""))))))</f>
        <v/>
      </c>
      <c r="AB57" s="11">
        <f>IF(I57="","",IF(AND(K57="deterministic_policy",M57="ya"),"PERIKSA: deterministic_policy tetapi LLM/ML ada dalam keputusan. ","")&amp;IF(AND(U57="ya",V57=""),"PERIKSA: adaptif=ya wajib ada kutipan. ","")&amp;IF(AND(R57="none",U57&lt;&gt;"n/a_tanpa_evaluasi",U57&lt;&gt;""),"PERIKSA: tanpa evaluasi, adaptif harus n/a. ","")&amp;IF(AND(OR(R57="author_run",R57="author_run+independent",R57="independent_only"),Q57=""),"PERIKSA: isi kelas_dievaluasi. ","")&amp;IF(AND(OR(R57="author_run",R57="author_run+independent",R57="independent_only"),W57=""),"PERIKSA: isi lokasi_bukti. ","")&amp;IF(AND(H57="tidak",R57&lt;&gt;""),"PERIKSA: tanpa teks lengkap, kosongkan kolom evaluasi. ",""))</f>
        <v/>
      </c>
      <c r="AC57" t="inlineStr">
        <is>
          <t>include</t>
        </is>
      </c>
    </row>
    <row r="58" ht="23.25" customHeight="1" s="21">
      <c r="A58" s="8" t="inlineStr">
        <is>
          <t>junfeng-2025-we-should-identify-mitigate-third</t>
        </is>
      </c>
      <c r="B58" s="8" t="inlineStr">
        <is>
          <t>We Should Identify and Mitigate Third-Party Safety Risks in MCP-Powered Agent Systems</t>
        </is>
      </c>
      <c r="C58" s="8" t="n">
        <v>2025</v>
      </c>
      <c r="D58" s="8" t="inlineStr">
        <is>
          <t>E2</t>
        </is>
      </c>
      <c r="E58" s="8" t="inlineStr">
        <is>
          <t>kandidat_agent</t>
        </is>
      </c>
      <c r="F58" s="8" t="inlineStr">
        <is>
          <t>proposal_only</t>
        </is>
      </c>
      <c r="G58" s="9" t="inlineStr">
        <is>
          <t>https://arxiv.org/abs/2506.13666</t>
        </is>
      </c>
      <c r="H58" s="10" t="inlineStr">
        <is>
          <t>ya</t>
        </is>
      </c>
      <c r="I58" s="10" t="inlineStr">
        <is>
          <t>position_other</t>
        </is>
      </c>
      <c r="J58" s="10" t="n"/>
      <c r="K58" s="10" t="n"/>
      <c r="L58" s="10" t="n"/>
      <c r="M58" s="10" t="n"/>
      <c r="N58" s="10" t="n"/>
      <c r="O58" s="10" t="n"/>
      <c r="P58" s="10" t="n"/>
      <c r="Q58" s="10" t="n"/>
      <c r="R58" s="10" t="n"/>
      <c r="S58" s="10" t="n"/>
      <c r="T58" s="10" t="n"/>
      <c r="U58" s="10" t="n"/>
      <c r="V58" s="10" t="n"/>
      <c r="W58" s="10" t="n"/>
      <c r="X58" s="10" t="n"/>
      <c r="Y58" s="10" t="n"/>
      <c r="Z58" s="10" t="inlineStr">
        <is>
          <t>Makalah posisi (position paper) dari NUS &amp; USTC yang menyoroti risiko keselamatan pihak ketiga pada sistem agen MCP dan mengusulkan kerangka diagnostik/benchmark SAFEMCP serta agenda riset masa depan. Bukan usulan mekanisme mitigasi baru.</t>
        </is>
      </c>
      <c r="AA58" s="11">
        <f>IF(I58="","",IF(OR(I58="attack",I58="survey_review",I58="benchmark_measurement",I58="position_other",I58="not_defense"),"n/a",IF(OR(X58="spec_normatif",X58="produksi_bukti_publik"),"L3",IF(ISNUMBER(SEARCH("independent",R58)),"L2",IF(R58="author_run","L1",IF(R58="none","L0",""))))))</f>
        <v/>
      </c>
      <c r="AB58" s="11">
        <f>IF(I58="","",IF(AND(K58="deterministic_policy",M58="ya"),"PERIKSA: deterministic_policy tetapi LLM/ML ada dalam keputusan. ","")&amp;IF(AND(U58="ya",V58=""),"PERIKSA: adaptif=ya wajib ada kutipan. ","")&amp;IF(AND(R58="none",U58&lt;&gt;"n/a_tanpa_evaluasi",U58&lt;&gt;""),"PERIKSA: tanpa evaluasi, adaptif harus n/a. ","")&amp;IF(AND(OR(R58="author_run",R58="author_run+independent",R58="independent_only"),Q58=""),"PERIKSA: isi kelas_dievaluasi. ","")&amp;IF(AND(OR(R58="author_run",R58="author_run+independent",R58="independent_only"),W58=""),"PERIKSA: isi lokasi_bukti. ","")&amp;IF(AND(H58="tidak",R58&lt;&gt;""),"PERIKSA: tanpa teks lengkap, kosongkan kolom evaluasi. ",""))</f>
        <v/>
      </c>
      <c r="AC58" t="inlineStr">
        <is>
          <t>include</t>
        </is>
      </c>
    </row>
    <row r="59" ht="57" customHeight="1" s="21">
      <c r="A59" s="12" t="inlineStr">
        <is>
          <t>kiarash-2026-trustworthy-ai-llm-scalability-risk</t>
        </is>
      </c>
      <c r="B59" s="12" t="inlineStr">
        <is>
          <t>Trustworthy AI LLM Scalability Risk Index (LSRI): A Cybersecurity Framework Assessing Agentic-AI Security &amp; Software Model Supply Chain Safety Boosting AI-Generated Malware Defense &amp; Explainability Mitigating Emerging Risks of Generative AI</t>
        </is>
      </c>
      <c r="C59" s="12" t="n">
        <v>2026</v>
      </c>
      <c r="D59" s="12" t="inlineStr">
        <is>
          <t>E1</t>
        </is>
      </c>
      <c r="E59" s="12" t="inlineStr">
        <is>
          <t>kandidat_agent</t>
        </is>
      </c>
      <c r="F59" s="12" t="inlineStr">
        <is>
          <t>proposal_only</t>
        </is>
      </c>
      <c r="G59" s="13" t="inlineStr">
        <is>
          <t>https://arxiv.org/abs/2602.19021</t>
        </is>
      </c>
      <c r="H59" s="12" t="inlineStr">
        <is>
          <t>tidak</t>
        </is>
      </c>
      <c r="I59" s="12" t="inlineStr">
        <is>
          <t>not_defense</t>
        </is>
      </c>
      <c r="J59" s="12" t="n"/>
      <c r="K59" s="12" t="n"/>
      <c r="L59" s="12" t="n"/>
      <c r="M59" s="12" t="n"/>
      <c r="N59" s="12" t="n"/>
      <c r="O59" s="12" t="n"/>
      <c r="P59" s="12" t="n"/>
      <c r="Q59" s="12" t="n"/>
      <c r="R59" s="12" t="n"/>
      <c r="S59" s="12" t="n"/>
      <c r="T59" s="12" t="n"/>
      <c r="U59" s="12" t="n"/>
      <c r="V59" s="12" t="n"/>
      <c r="W59" s="12" t="n"/>
      <c r="X59" s="12" t="n"/>
      <c r="Y59" s="12" t="n"/>
      <c r="Z59" s="12" t="inlineStr">
        <is>
          <t>[AUDIT_v5_EXCLUDE: EC2] Dikeluarkan dari korpus MCP-spesifik oleh audit reviewer kedua v5. (audit lanjutan; diterima koordinator)</t>
        </is>
      </c>
      <c r="AA59" s="12">
        <f>IF(I59="","",IF(OR(I59="attack",I59="survey_review",I59="benchmark_measurement",I59="position_other",I59="not_defense"),"n/a",IF(OR(X59="spec_normatif",X59="produksi_bukti_publik"),"L3",IF(ISNUMBER(SEARCH("independent",R59)),"L2",IF(R59="author_run","L1",IF(R59="none","L0",""))))))</f>
        <v/>
      </c>
      <c r="AB59" s="12">
        <f>IF(I59="","",IF(AND(K59="deterministic_policy",M59="ya"),"PERIKSA: deterministic_policy tetapi LLM/ML ada dalam keputusan. ","")&amp;IF(AND(U59="ya",V59=""),"PERIKSA: adaptif=ya wajib ada kutipan. ","")&amp;IF(AND(R59="none",U59&lt;&gt;"n/a_tanpa_evaluasi",U59&lt;&gt;""),"PERIKSA: tanpa evaluasi, adaptif harus n/a. ","")&amp;IF(AND(OR(R59="author_run",R59="author_run+independent",R59="independent_only"),Q59=""),"PERIKSA: isi kelas_dievaluasi. ","")&amp;IF(AND(OR(R59="author_run",R59="author_run+independent",R59="independent_only"),W59=""),"PERIKSA: isi lokasi_bukti. ","")&amp;IF(AND(H59="tidak",R59&lt;&gt;""),"PERIKSA: tanpa teks lengkap, kosongkan kolom evaluasi. ",""))</f>
        <v/>
      </c>
      <c r="AC59" s="14" t="inlineStr">
        <is>
          <t>exclude</t>
        </is>
      </c>
      <c r="AD59" s="14" t="inlineStr">
        <is>
          <t>EC2</t>
        </is>
      </c>
      <c r="AE59" s="14" t="inlineStr">
        <is>
          <t>audit lanjutan; diterima koordinator</t>
        </is>
      </c>
    </row>
    <row r="60" ht="23.25" customHeight="1" s="21">
      <c r="A60" s="8" t="inlineStr">
        <is>
          <t>l-2025-mcp-security-notification-tool-poisoning</t>
        </is>
      </c>
      <c r="B60" s="8" t="inlineStr">
        <is>
          <t>MCP Security Notification: Tool Poisoning Attacks</t>
        </is>
      </c>
      <c r="C60" s="8" t="n">
        <v>2025</v>
      </c>
      <c r="D60" s="8" t="inlineStr">
        <is>
          <t>E4</t>
        </is>
      </c>
      <c r="E60" s="8" t="inlineStr">
        <is>
          <t>kandidat_agent</t>
        </is>
      </c>
      <c r="F60" s="8" t="inlineStr">
        <is>
          <t>proposal_only</t>
        </is>
      </c>
      <c r="G60" s="8" t="n"/>
      <c r="H60" s="10" t="inlineStr">
        <is>
          <t>ya</t>
        </is>
      </c>
      <c r="I60" s="10" t="inlineStr">
        <is>
          <t>attack</t>
        </is>
      </c>
      <c r="J60" s="10" t="n"/>
      <c r="K60" s="10" t="n"/>
      <c r="L60" s="10" t="n"/>
      <c r="M60" s="10" t="n"/>
      <c r="N60" s="10" t="n"/>
      <c r="O60" s="10" t="n"/>
      <c r="P60" s="10" t="n"/>
      <c r="Q60" s="10" t="n"/>
      <c r="R60" s="10" t="n"/>
      <c r="S60" s="10" t="n"/>
      <c r="T60" s="10" t="n"/>
      <c r="U60" s="10" t="n"/>
      <c r="V60" s="10" t="n"/>
      <c r="W60" s="10" t="n"/>
      <c r="X60" s="10" t="n"/>
      <c r="Y60" s="10" t="n"/>
      <c r="Z60" s="10" t="inlineStr">
        <is>
          <t>Notifikasi keamanan industri / security advisory dari Invariant Labs (Tier E4) yang mendemonstrasikan serangan tool poisoning, shadowing, dan rug pulls pada klien MCP (Cursor). Sesuai Pedoman, dikodekan sebagai attack.</t>
        </is>
      </c>
      <c r="AA60" s="11">
        <f>IF(I60="","",IF(OR(I60="attack",I60="survey_review",I60="benchmark_measurement",I60="position_other",I60="not_defense"),"n/a",IF(OR(X60="spec_normatif",X60="produksi_bukti_publik"),"L3",IF(ISNUMBER(SEARCH("independent",R60)),"L2",IF(R60="author_run","L1",IF(R60="none","L0",""))))))</f>
        <v/>
      </c>
      <c r="AB60" s="11">
        <f>IF(I60="","",IF(AND(K60="deterministic_policy",M60="ya"),"PERIKSA: deterministic_policy tetapi LLM/ML ada dalam keputusan. ","")&amp;IF(AND(U60="ya",V60=""),"PERIKSA: adaptif=ya wajib ada kutipan. ","")&amp;IF(AND(R60="none",U60&lt;&gt;"n/a_tanpa_evaluasi",U60&lt;&gt;""),"PERIKSA: tanpa evaluasi, adaptif harus n/a. ","")&amp;IF(AND(OR(R60="author_run",R60="author_run+independent",R60="independent_only"),Q60=""),"PERIKSA: isi kelas_dievaluasi. ","")&amp;IF(AND(OR(R60="author_run",R60="author_run+independent",R60="independent_only"),W60=""),"PERIKSA: isi lokasi_bukti. ","")&amp;IF(AND(H60="tidak",R60&lt;&gt;""),"PERIKSA: tanpa teks lengkap, kosongkan kolom evaluasi. ",""))</f>
        <v/>
      </c>
      <c r="AC60" t="inlineStr">
        <is>
          <t>include</t>
        </is>
      </c>
    </row>
    <row r="61" ht="34.5" customHeight="1" s="21">
      <c r="A61" s="8" t="inlineStr">
        <is>
          <t>llu-2026-trustworthy-model-context-protocol-mcp</t>
        </is>
      </c>
      <c r="B61" s="8" t="inlineStr">
        <is>
          <t>The Trustworthy Model Context Protocol (MCP) Registry: An Architectural Blueprint for Cryptographic Provenance and Runtime Integrity</t>
        </is>
      </c>
      <c r="C61" s="8" t="n">
        <v>2026</v>
      </c>
      <c r="D61" s="8" t="inlineStr">
        <is>
          <t>E1</t>
        </is>
      </c>
      <c r="E61" s="8" t="inlineStr">
        <is>
          <t>kandidat_agent</t>
        </is>
      </c>
      <c r="F61" s="8" t="inlineStr">
        <is>
          <t>proposal_only</t>
        </is>
      </c>
      <c r="G61" s="9" t="inlineStr">
        <is>
          <t>https://doi.org/10.3390/fi18050243</t>
        </is>
      </c>
      <c r="H61" s="10" t="inlineStr">
        <is>
          <t>ya</t>
        </is>
      </c>
      <c r="I61" s="10" t="inlineStr">
        <is>
          <t>defense_primary</t>
        </is>
      </c>
      <c r="J61" s="10" t="inlineStr">
        <is>
          <t>proto-mcp (Trustworthy MCP Registry)</t>
        </is>
      </c>
      <c r="K61" s="10" t="inlineStr">
        <is>
          <t>integrity_provenance</t>
        </is>
      </c>
      <c r="L61" s="10" t="inlineStr">
        <is>
          <t>Arsitektur registri terpercaya tiga lapis berbasis dokumen /.well-known/mcp.json, Sigstore keyless signing, log transparansi, dan validasi tanda tangan JWK runtime untuk mencegah mutasi kapabilitas dan serangan rug pull.</t>
        </is>
      </c>
      <c r="M61" s="10" t="inlineStr">
        <is>
          <t>tidak</t>
        </is>
      </c>
      <c r="N61" s="10" t="inlineStr">
        <is>
          <t>registry</t>
        </is>
      </c>
      <c r="O61" s="10" t="inlineStr">
        <is>
          <t>R7</t>
        </is>
      </c>
      <c r="P61" s="10" t="inlineStr">
        <is>
          <t>B1;B2;D3</t>
        </is>
      </c>
      <c r="Q61" s="10" t="inlineStr">
        <is>
          <t>B1</t>
        </is>
      </c>
      <c r="R61" s="10" t="inlineStr">
        <is>
          <t>author_run</t>
        </is>
      </c>
      <c r="S61" s="10" t="n"/>
      <c r="T61" s="10" t="inlineStr">
        <is>
          <t>authors_own</t>
        </is>
      </c>
      <c r="U61" s="10" t="inlineStr">
        <is>
          <t>tidak</t>
        </is>
      </c>
      <c r="V61" s="10" t="n"/>
      <c r="W61" s="10" t="inlineStr">
        <is>
          <t>Sec. 4-5; hal. 8-12</t>
        </is>
      </c>
      <c r="X61" s="10" t="inlineStr">
        <is>
          <t>none</t>
        </is>
      </c>
      <c r="Y61" s="10" t="inlineStr">
        <is>
          <t>overhead tanda tangan kriptografis 0.61 ms per operasi (Sec. 5)</t>
        </is>
      </c>
      <c r="Z61" s="10" t="inlineStr">
        <is>
          <t>Teks lengkap MDPI Future Internet (18(5), 243). Evaluasi author_run prototipe proto-mcp terhadap 100 simulasi serangan rug pull (B1): 100% ditolak; overhead penandatanganan kriptografis 0.61 ms. Catatan deployment: prototipe internal/eksperimental (belum dirilis secara publik).</t>
        </is>
      </c>
      <c r="AA61" s="11">
        <f>IF(I61="","",IF(OR(I61="attack",I61="survey_review",I61="benchmark_measurement",I61="position_other",I61="not_defense"),"n/a",IF(OR(X61="spec_normatif",X61="produksi_bukti_publik"),"L3",IF(ISNUMBER(SEARCH("independent",R61)),"L2",IF(R61="author_run","L1",IF(R61="none","L0",""))))))</f>
        <v/>
      </c>
      <c r="AB61" s="11">
        <f>IF(I61="","",IF(AND(K61="deterministic_policy",M61="ya"),"PERIKSA: deterministic_policy tetapi LLM/ML ada dalam keputusan. ","")&amp;IF(AND(U61="ya",V61=""),"PERIKSA: adaptif=ya wajib ada kutipan. ","")&amp;IF(AND(R61="none",U61&lt;&gt;"n/a_tanpa_evaluasi",U61&lt;&gt;""),"PERIKSA: tanpa evaluasi, adaptif harus n/a. ","")&amp;IF(AND(OR(R61="author_run",R61="author_run+independent",R61="independent_only"),Q61=""),"PERIKSA: isi kelas_dievaluasi. ","")&amp;IF(AND(OR(R61="author_run",R61="author_run+independent",R61="independent_only"),W61=""),"PERIKSA: isi lokasi_bukti. ","")&amp;IF(AND(H61="tidak",R61&lt;&gt;""),"PERIKSA: tanpa teks lengkap, kosongkan kolom evaluasi. ",""))</f>
        <v/>
      </c>
      <c r="AC61" t="inlineStr">
        <is>
          <t>include</t>
        </is>
      </c>
    </row>
    <row r="62" ht="34.5" customHeight="1" s="21">
      <c r="A62" s="8" t="inlineStr">
        <is>
          <t>manish-2026-model-context-protocol-security-landscape</t>
        </is>
      </c>
      <c r="B62" s="8" t="inlineStr">
        <is>
          <t>The Model Context Protocol Security Landscape: A Systematic Analysis of Inherent Vulnerabilities and Defensive Inadequacies</t>
        </is>
      </c>
      <c r="C62" s="8" t="n">
        <v>2026</v>
      </c>
      <c r="D62" s="8" t="inlineStr">
        <is>
          <t>E1</t>
        </is>
      </c>
      <c r="E62" s="8" t="inlineStr">
        <is>
          <t>kandidat_agent</t>
        </is>
      </c>
      <c r="F62" s="8" t="inlineStr">
        <is>
          <t>proposal_only</t>
        </is>
      </c>
      <c r="G62" s="9" t="inlineStr">
        <is>
          <t>https://doi.org/10.1007/978-3-032-31998-2_13</t>
        </is>
      </c>
      <c r="H62" s="10" t="inlineStr">
        <is>
          <t>ya</t>
        </is>
      </c>
      <c r="I62" s="10" t="inlineStr">
        <is>
          <t>survey_review</t>
        </is>
      </c>
      <c r="J62" s="10" t="n"/>
      <c r="K62" s="10" t="n"/>
      <c r="L62" s="10" t="n"/>
      <c r="M62" s="10" t="n"/>
      <c r="N62" s="10" t="n"/>
      <c r="O62" s="10" t="n"/>
      <c r="P62" s="10" t="n"/>
      <c r="Q62" s="10" t="n"/>
      <c r="R62" s="10" t="n"/>
      <c r="S62" s="10" t="n"/>
      <c r="T62" s="10" t="n"/>
      <c r="U62" s="10" t="n"/>
      <c r="V62" s="10" t="n"/>
      <c r="W62" s="10" t="n"/>
      <c r="X62" s="10" t="n"/>
      <c r="Y62" s="10" t="n"/>
      <c r="Z62" s="10" t="inlineStr">
        <is>
          <t>Teks lengkap tersedia di papers/springer. Survei sistematis 18 studi akademik kunci (2024-2025) dan mengusulkan MCP Inherent Risk Taxonomy (MIRT).</t>
        </is>
      </c>
      <c r="AA62" s="11">
        <f>IF(I62="","",IF(OR(I62="attack",I62="survey_review",I62="benchmark_measurement",I62="position_other",I62="not_defense"),"n/a",IF(OR(X62="spec_normatif",X62="produksi_bukti_publik"),"L3",IF(ISNUMBER(SEARCH("independent",R62)),"L2",IF(R62="author_run","L1",IF(R62="none","L0",""))))))</f>
        <v/>
      </c>
      <c r="AB62" s="11">
        <f>IF(I62="","",IF(AND(K62="deterministic_policy",M62="ya"),"PERIKSA: deterministic_policy tetapi LLM/ML ada dalam keputusan. ","")&amp;IF(AND(U62="ya",V62=""),"PERIKSA: adaptif=ya wajib ada kutipan. ","")&amp;IF(AND(R62="none",U62&lt;&gt;"n/a_tanpa_evaluasi",U62&lt;&gt;""),"PERIKSA: tanpa evaluasi, adaptif harus n/a. ","")&amp;IF(AND(OR(R62="author_run",R62="author_run+independent",R62="independent_only"),Q62=""),"PERIKSA: isi kelas_dievaluasi. ","")&amp;IF(AND(OR(R62="author_run",R62="author_run+independent",R62="independent_only"),W62=""),"PERIKSA: isi lokasi_bukti. ","")&amp;IF(AND(H62="tidak",R62&lt;&gt;""),"PERIKSA: tanpa teks lengkap, kosongkan kolom evaluasi. ",""))</f>
        <v/>
      </c>
      <c r="AC62" t="inlineStr">
        <is>
          <t>include</t>
        </is>
      </c>
    </row>
    <row r="63" ht="23.25" customHeight="1" s="21">
      <c r="A63" s="8" t="inlineStr">
        <is>
          <t>mehrdad-2026-mcp-dpt-defense-placement-taxonomy</t>
        </is>
      </c>
      <c r="B63" s="8" t="inlineStr">
        <is>
          <t>MCP-DPT: A Defense-Placement Taxonomy and Coverage Analysis for Model Context Protocol Security</t>
        </is>
      </c>
      <c r="C63" s="8" t="n">
        <v>2026</v>
      </c>
      <c r="D63" s="8" t="inlineStr">
        <is>
          <t>E2</t>
        </is>
      </c>
      <c r="E63" s="8" t="inlineStr">
        <is>
          <t>kandidat_agent</t>
        </is>
      </c>
      <c r="F63" s="8" t="inlineStr">
        <is>
          <t>proposal_only</t>
        </is>
      </c>
      <c r="G63" s="9" t="inlineStr">
        <is>
          <t>https://arxiv.org/abs/2604.07551</t>
        </is>
      </c>
      <c r="H63" s="10" t="inlineStr">
        <is>
          <t>ya</t>
        </is>
      </c>
      <c r="I63" s="10" t="inlineStr">
        <is>
          <t>survey_review</t>
        </is>
      </c>
      <c r="J63" s="10" t="n"/>
      <c r="K63" s="10" t="n"/>
      <c r="L63" s="10" t="n"/>
      <c r="M63" s="10" t="n"/>
      <c r="N63" s="10" t="n"/>
      <c r="O63" s="10" t="n"/>
      <c r="P63" s="10" t="n"/>
      <c r="Q63" s="10" t="n"/>
      <c r="R63" s="10" t="n"/>
      <c r="S63" s="10" t="n"/>
      <c r="T63" s="10" t="n"/>
      <c r="U63" s="10" t="n"/>
      <c r="V63" s="10" t="n"/>
      <c r="W63" s="10" t="n"/>
      <c r="X63" s="10" t="n"/>
      <c r="Y63" s="10" t="n"/>
      <c r="Z63" s="10" t="inlineStr">
        <is>
          <t>KODER 1 menandai teks lengkap. Makalah taksonomi dan tinjauan pemetaan pertahanan (Systematization of Knowledge) mengenai penempatan pertahanan keamanan MCP (MCP-DPT) yang memetakan pertahanan industri dan akademis yang ada. Sesuai Pedoman, dikodekan sebagai survey_review.</t>
        </is>
      </c>
      <c r="AA63" s="11">
        <f>IF(I63="","",IF(OR(I63="attack",I63="survey_review",I63="benchmark_measurement",I63="position_other",I63="not_defense"),"n/a",IF(OR(X63="spec_normatif",X63="produksi_bukti_publik"),"L3",IF(ISNUMBER(SEARCH("independent",R63)),"L2",IF(R63="author_run","L1",IF(R63="none","L0",""))))))</f>
        <v/>
      </c>
      <c r="AB63" s="11">
        <f>IF(I63="","",IF(AND(K63="deterministic_policy",M63="ya"),"PERIKSA: deterministic_policy tetapi LLM/ML ada dalam keputusan. ","")&amp;IF(AND(U63="ya",V63=""),"PERIKSA: adaptif=ya wajib ada kutipan. ","")&amp;IF(AND(R63="none",U63&lt;&gt;"n/a_tanpa_evaluasi",U63&lt;&gt;""),"PERIKSA: tanpa evaluasi, adaptif harus n/a. ","")&amp;IF(AND(OR(R63="author_run",R63="author_run+independent",R63="independent_only"),Q63=""),"PERIKSA: isi kelas_dievaluasi. ","")&amp;IF(AND(OR(R63="author_run",R63="author_run+independent",R63="independent_only"),W63=""),"PERIKSA: isi lokasi_bukti. ","")&amp;IF(AND(H63="tidak",R63&lt;&gt;""),"PERIKSA: tanpa teks lengkap, kosongkan kolom evaluasi. ",""))</f>
        <v/>
      </c>
      <c r="AC63" t="inlineStr">
        <is>
          <t>include</t>
        </is>
      </c>
    </row>
    <row r="64" ht="23.25" customHeight="1" s="21">
      <c r="A64" s="8" t="inlineStr">
        <is>
          <t>michelle-2025-missing-securing-model-context-protocol</t>
        </is>
      </c>
      <c r="B64" s="8" t="inlineStr">
        <is>
          <t>The Missing S: Securing the Model Context Protocol</t>
        </is>
      </c>
      <c r="C64" s="8" t="n">
        <v>2025</v>
      </c>
      <c r="D64" s="8" t="inlineStr">
        <is>
          <t>E1</t>
        </is>
      </c>
      <c r="E64" s="8" t="inlineStr">
        <is>
          <t>kandidat_agent</t>
        </is>
      </c>
      <c r="F64" s="8" t="inlineStr">
        <is>
          <t>proposal_only</t>
        </is>
      </c>
      <c r="G64" s="9" t="inlineStr">
        <is>
          <t>https://doi.org/10.1109/ICoAIT67446.2025.11308830</t>
        </is>
      </c>
      <c r="H64" s="10" t="inlineStr">
        <is>
          <t>ya</t>
        </is>
      </c>
      <c r="I64" s="10" t="inlineStr">
        <is>
          <t>defense_primary</t>
        </is>
      </c>
      <c r="J64" s="10" t="inlineStr">
        <is>
          <t>Missing S / DistilBERT Command Injection Detector</t>
        </is>
      </c>
      <c r="K64" s="10" t="inlineStr">
        <is>
          <t>content_inspection_runtime</t>
        </is>
      </c>
      <c r="L64" s="10" t="inlineStr">
        <is>
          <t>Detektor injeksi perintah runtime berbasis model Transformer (DistilBERT fine-tuned) untuk memeriksa argumen pemanggilan tool pada protokol MCP.</t>
        </is>
      </c>
      <c r="M64" s="10" t="inlineStr">
        <is>
          <t>ya</t>
        </is>
      </c>
      <c r="N64" s="10" t="inlineStr">
        <is>
          <t>gateway_proxy</t>
        </is>
      </c>
      <c r="O64" s="10" t="inlineStr">
        <is>
          <t>R2;R5</t>
        </is>
      </c>
      <c r="P64" s="10" t="inlineStr">
        <is>
          <t>C5</t>
        </is>
      </c>
      <c r="Q64" s="10" t="inlineStr">
        <is>
          <t>C5</t>
        </is>
      </c>
      <c r="R64" s="10" t="inlineStr">
        <is>
          <t>author_run</t>
        </is>
      </c>
      <c r="S64" s="10" t="n"/>
      <c r="T64" s="10" t="inlineStr">
        <is>
          <t>authors_own</t>
        </is>
      </c>
      <c r="U64" s="10" t="inlineStr">
        <is>
          <t>tidak</t>
        </is>
      </c>
      <c r="V64" s="10" t="n"/>
      <c r="W64" s="10" t="inlineStr">
        <is>
          <t>Sec. IV, Tabel II, hal. 4-5</t>
        </is>
      </c>
      <c r="X64" s="10" t="inlineStr">
        <is>
          <t>prototype_open_source</t>
        </is>
      </c>
      <c r="Y64" s="10" t="inlineStr">
        <is>
          <t>akurasi 99.92%, precision 99.85%, recall 100% pada 2.400 sampel uji</t>
        </is>
      </c>
      <c r="Z64" s="10" t="inlineStr">
        <is>
          <t>Teks lengkap tersedia di papers/ieee. Kode dan model tersedia publik di https://github.com/chelleajax/Securing-the-MCP.</t>
        </is>
      </c>
      <c r="AA64" s="11">
        <f>IF(I64="","",IF(OR(I64="attack",I64="survey_review",I64="benchmark_measurement",I64="position_other",I64="not_defense"),"n/a",IF(OR(X64="spec_normatif",X64="produksi_bukti_publik"),"L3",IF(ISNUMBER(SEARCH("independent",R64)),"L2",IF(R64="author_run","L1",IF(R64="none","L0",""))))))</f>
        <v/>
      </c>
      <c r="AB64" s="11">
        <f>IF(I64="","",IF(AND(K64="deterministic_policy",M64="ya"),"PERIKSA: deterministic_policy tetapi LLM/ML ada dalam keputusan. ","")&amp;IF(AND(U64="ya",V64=""),"PERIKSA: adaptif=ya wajib ada kutipan. ","")&amp;IF(AND(R64="none",U64&lt;&gt;"n/a_tanpa_evaluasi",U64&lt;&gt;""),"PERIKSA: tanpa evaluasi, adaptif harus n/a. ","")&amp;IF(AND(OR(R64="author_run",R64="author_run+independent",R64="independent_only"),Q64=""),"PERIKSA: isi kelas_dievaluasi. ","")&amp;IF(AND(OR(R64="author_run",R64="author_run+independent",R64="independent_only"),W64=""),"PERIKSA: isi lokasi_bukti. ","")&amp;IF(AND(H64="tidak",R64&lt;&gt;""),"PERIKSA: tanpa teks lengkap, kosongkan kolom evaluasi. ",""))</f>
        <v/>
      </c>
      <c r="AC64" t="inlineStr">
        <is>
          <t>include</t>
        </is>
      </c>
    </row>
    <row r="65" ht="23.25" customHeight="1" s="21">
      <c r="A65" s="8" t="inlineStr">
        <is>
          <t>nisharg-2025-model-context-protocol-mcp-lightweight</t>
        </is>
      </c>
      <c r="B65" s="8" t="inlineStr">
        <is>
          <t>Model Context Protocol (MCP): A Lightweight, Modular Framework for Tool-Augmented LLM Agents</t>
        </is>
      </c>
      <c r="C65" s="8" t="n">
        <v>2025</v>
      </c>
      <c r="D65" s="8" t="inlineStr">
        <is>
          <t>E1</t>
        </is>
      </c>
      <c r="E65" s="8" t="inlineStr">
        <is>
          <t>kandidat_agent</t>
        </is>
      </c>
      <c r="F65" s="8" t="inlineStr">
        <is>
          <t>proposal_only</t>
        </is>
      </c>
      <c r="G65" s="9" t="inlineStr">
        <is>
          <t>https://doi.org/10.1109/ISED67359.2025.11405153</t>
        </is>
      </c>
      <c r="H65" s="10" t="inlineStr">
        <is>
          <t>tidak</t>
        </is>
      </c>
      <c r="I65" s="10" t="inlineStr">
        <is>
          <t>position_other</t>
        </is>
      </c>
      <c r="J65" s="10" t="n"/>
      <c r="K65" s="10" t="n"/>
      <c r="L65" s="10" t="n"/>
      <c r="M65" s="10" t="n"/>
      <c r="N65" s="10" t="n"/>
      <c r="O65" s="10" t="n"/>
      <c r="P65" s="10" t="n"/>
      <c r="Q65" s="10" t="n"/>
      <c r="R65" s="10" t="n"/>
      <c r="S65" s="10" t="n"/>
      <c r="T65" s="10" t="n"/>
      <c r="U65" s="10" t="n"/>
      <c r="V65" s="10" t="n"/>
      <c r="W65" s="10" t="n"/>
      <c r="X65" s="10" t="n"/>
      <c r="Y65" s="10" t="n"/>
      <c r="Z65" s="10" t="inlineStr">
        <is>
          <t>[NON-OA / ABSTRACT-ONLY] Makalah IEEE ISED 2025 (DOI: 10.1109/ISED67359.2025.11405153). Makalah arsitektur rekayasa sistem/platform yang menyajikan gambaran umum MCP sebagai kerangka kerja modular untuk agen LLM dengan perkakas. Bukan usulan mekanisme mitigasi pertahanan serangan.</t>
        </is>
      </c>
      <c r="AA65" s="11">
        <f>IF(I65="","",IF(OR(I65="attack",I65="survey_review",I65="benchmark_measurement",I65="position_other",I65="not_defense"),"n/a",IF(OR(X65="spec_normatif",X65="produksi_bukti_publik"),"L3",IF(ISNUMBER(SEARCH("independent",R65)),"L2",IF(R65="author_run","L1",IF(R65="none","L0",""))))))</f>
        <v/>
      </c>
      <c r="AB65" s="11">
        <f>IF(I65="","",IF(AND(K65="deterministic_policy",M65="ya"),"PERIKSA: deterministic_policy tetapi LLM/ML ada dalam keputusan. ","")&amp;IF(AND(U65="ya",V65=""),"PERIKSA: adaptif=ya wajib ada kutipan. ","")&amp;IF(AND(R65="none",U65&lt;&gt;"n/a_tanpa_evaluasi",U65&lt;&gt;""),"PERIKSA: tanpa evaluasi, adaptif harus n/a. ","")&amp;IF(AND(OR(R65="author_run",R65="author_run+independent",R65="independent_only"),Q65=""),"PERIKSA: isi kelas_dievaluasi. ","")&amp;IF(AND(OR(R65="author_run",R65="author_run+independent",R65="independent_only"),W65=""),"PERIKSA: isi lokasi_bukti. ","")&amp;IF(AND(H65="tidak",R65&lt;&gt;""),"PERIKSA: tanpa teks lengkap, kosongkan kolom evaluasi. ",""))</f>
        <v/>
      </c>
      <c r="AC65" t="inlineStr">
        <is>
          <t>include</t>
        </is>
      </c>
    </row>
    <row r="66" ht="23.25" customHeight="1" s="21">
      <c r="A66" s="8" t="inlineStr">
        <is>
          <t>om-2025-comprehensive-security-framework-model-context</t>
        </is>
      </c>
      <c r="B66" s="8" t="inlineStr">
        <is>
          <t>A Comprehensive Security Framework for the Model Context Protocol (MCP) in Multi-Agent AI Systems</t>
        </is>
      </c>
      <c r="C66" s="8" t="n">
        <v>2025</v>
      </c>
      <c r="D66" s="8" t="inlineStr">
        <is>
          <t>E1</t>
        </is>
      </c>
      <c r="E66" s="8" t="inlineStr">
        <is>
          <t>kandidat_agent</t>
        </is>
      </c>
      <c r="F66" s="8" t="inlineStr">
        <is>
          <t>proposal_only</t>
        </is>
      </c>
      <c r="G66" s="9" t="inlineStr">
        <is>
          <t>https://doi.org/10.1109/acai68217.2025.11406667</t>
        </is>
      </c>
      <c r="H66" s="10" t="inlineStr">
        <is>
          <t>ya</t>
        </is>
      </c>
      <c r="I66" s="10" t="inlineStr">
        <is>
          <t>defense_primary</t>
        </is>
      </c>
      <c r="J66" s="10" t="inlineStr">
        <is>
          <t>Multi-Layer Security Framework (SecureFlow)</t>
        </is>
      </c>
      <c r="K66" s="10" t="inlineStr">
        <is>
          <t>deterministic_policy</t>
        </is>
      </c>
      <c r="L66" s="10" t="inlineStr">
        <is>
          <t>Kerangka pertahanan multi-layer untuk sistem multi-agen MCP yang memadukan OPA policy-as-code, scoped JWT, isolasi AgentNamespace, dan Saga state consistency.</t>
        </is>
      </c>
      <c r="M66" s="10" t="inlineStr">
        <is>
          <t>tidak</t>
        </is>
      </c>
      <c r="N66" s="10" t="inlineStr">
        <is>
          <t>gateway_proxy</t>
        </is>
      </c>
      <c r="O66" s="10" t="inlineStr">
        <is>
          <t>R1;R2;R3;R5;R7</t>
        </is>
      </c>
      <c r="P66" s="10" t="inlineStr">
        <is>
          <t>A1;A2;B1;B2;C1;C2;D1</t>
        </is>
      </c>
      <c r="Q66" s="10" t="n"/>
      <c r="R66" s="10" t="inlineStr">
        <is>
          <t>none</t>
        </is>
      </c>
      <c r="S66" s="10" t="n"/>
      <c r="T66" s="10" t="inlineStr">
        <is>
          <t>none</t>
        </is>
      </c>
      <c r="U66" s="10" t="inlineStr">
        <is>
          <t>n/a_tanpa_evaluasi</t>
        </is>
      </c>
      <c r="V66" s="10" t="n"/>
      <c r="W66" s="10" t="n"/>
      <c r="X66" s="10" t="inlineStr">
        <is>
          <t>none</t>
        </is>
      </c>
      <c r="Y66" s="10" t="inlineStr">
        <is>
          <t>not_reported</t>
        </is>
      </c>
      <c r="Z66" s="10" t="inlineStr">
        <is>
          <t>Multi-layer security framework (SecureFlow). Tidak ada data empiris di Sec IV-VI, dikodekan defense_primary L0 sesuai Addendum v1.2 Bagian 3.</t>
        </is>
      </c>
      <c r="AA66" s="11">
        <f>IF(I66="","",IF(OR(I66="attack",I66="survey_review",I66="benchmark_measurement",I66="position_other",I66="not_defense"),"n/a",IF(OR(X66="spec_normatif",X66="produksi_bukti_publik"),"L3",IF(ISNUMBER(SEARCH("independent",R66)),"L2",IF(R66="author_run","L1",IF(R66="none","L0",""))))))</f>
        <v/>
      </c>
      <c r="AB66" s="11">
        <f>IF(I66="","",IF(AND(K66="deterministic_policy",M66="ya"),"PERIKSA: deterministic_policy tetapi LLM/ML ada dalam keputusan. ","")&amp;IF(AND(U66="ya",V66=""),"PERIKSA: adaptif=ya wajib ada kutipan. ","")&amp;IF(AND(R66="none",U66&lt;&gt;"n/a_tanpa_evaluasi",U66&lt;&gt;""),"PERIKSA: tanpa evaluasi, adaptif harus n/a. ","")&amp;IF(AND(OR(R66="author_run",R66="author_run+independent",R66="independent_only"),Q66=""),"PERIKSA: isi kelas_dievaluasi. ","")&amp;IF(AND(OR(R66="author_run",R66="author_run+independent",R66="independent_only"),W66=""),"PERIKSA: isi lokasi_bukti. ","")&amp;IF(AND(H66="tidak",R66&lt;&gt;""),"PERIKSA: tanpa teks lengkap, kosongkan kolom evaluasi. ",""))</f>
        <v/>
      </c>
      <c r="AC66" t="inlineStr">
        <is>
          <t>include</t>
        </is>
      </c>
    </row>
    <row r="67" ht="23.25" customHeight="1" s="21">
      <c r="A67" s="8" t="inlineStr">
        <is>
          <t>rodrigo-2026-design-security-framework-multi-agent</t>
        </is>
      </c>
      <c r="B67" s="8" t="inlineStr">
        <is>
          <t>Design of a Security Framework for Multi-Agent Systems Based on Model Context Protocol in SOC Environments</t>
        </is>
      </c>
      <c r="C67" s="8" t="n">
        <v>2026</v>
      </c>
      <c r="D67" s="8" t="inlineStr">
        <is>
          <t>E1</t>
        </is>
      </c>
      <c r="E67" s="8" t="inlineStr">
        <is>
          <t>kandidat_agent</t>
        </is>
      </c>
      <c r="F67" s="8" t="inlineStr">
        <is>
          <t>proposal_only</t>
        </is>
      </c>
      <c r="G67" s="9" t="inlineStr">
        <is>
          <t>https://doi.org/10.3390/app16167915</t>
        </is>
      </c>
      <c r="H67" s="10" t="inlineStr">
        <is>
          <t>ya</t>
        </is>
      </c>
      <c r="I67" s="10" t="inlineStr">
        <is>
          <t>defense_primary</t>
        </is>
      </c>
      <c r="J67" s="10" t="inlineStr">
        <is>
          <t>SOC MCP Security Middleware</t>
        </is>
      </c>
      <c r="K67" s="10" t="inlineStr">
        <is>
          <t>deterministic_policy</t>
        </is>
      </c>
      <c r="L67" s="10" t="inlineStr">
        <is>
          <t>Middleware keamanan lima lapis (access control, rate limiting, validasi input/output, audit log) terintegrasi Wazuh SIEM untuk alur kerja multi-agen SOC.</t>
        </is>
      </c>
      <c r="M67" s="10" t="inlineStr">
        <is>
          <t>tidak</t>
        </is>
      </c>
      <c r="N67" s="10" t="inlineStr">
        <is>
          <t>gateway_proxy</t>
        </is>
      </c>
      <c r="O67" s="10" t="inlineStr">
        <is>
          <t>R1;R2;R7</t>
        </is>
      </c>
      <c r="P67" s="10" t="inlineStr">
        <is>
          <t>A1;A2;A3;B2;D3</t>
        </is>
      </c>
      <c r="Q67" s="10" t="inlineStr">
        <is>
          <t>A1;A2;B2</t>
        </is>
      </c>
      <c r="R67" s="10" t="inlineStr">
        <is>
          <t>author_run</t>
        </is>
      </c>
      <c r="S67" s="10" t="n"/>
      <c r="T67" s="10" t="inlineStr">
        <is>
          <t>authors_own</t>
        </is>
      </c>
      <c r="U67" s="10" t="inlineStr">
        <is>
          <t>tidak</t>
        </is>
      </c>
      <c r="V67" s="10" t="n"/>
      <c r="W67" s="10" t="inlineStr">
        <is>
          <t>Sec. 4-5; hal. 8-12</t>
        </is>
      </c>
      <c r="X67" s="10" t="inlineStr">
        <is>
          <t>none</t>
        </is>
      </c>
      <c r="Y67" s="10" t="inlineStr">
        <is>
          <t>dilaporkan: latensi middleware minimal pada pipeline SOC Wazuh (Sec. 5)</t>
        </is>
      </c>
      <c r="Z67" s="10" t="inlineStr">
        <is>
          <t>Teks lengkap MDPI Applied Sciences (16(16), 7915). Evaluasi author_run 600 eksekusi pada pipeline SOC terhubung Wazuh SIEM: memblokir 100% serangan teridentifikasi dari 29 vektor ancaman tanpa false rejections. Catatan deployment: prototipe internal/eksperimental (belum dirilis secara publik).</t>
        </is>
      </c>
      <c r="AA67" s="11">
        <f>IF(I67="","",IF(OR(I67="attack",I67="survey_review",I67="benchmark_measurement",I67="position_other",I67="not_defense"),"n/a",IF(OR(X67="spec_normatif",X67="produksi_bukti_publik"),"L3",IF(ISNUMBER(SEARCH("independent",R67)),"L2",IF(R67="author_run","L1",IF(R67="none","L0",""))))))</f>
        <v/>
      </c>
      <c r="AB67" s="11">
        <f>IF(I67="","",IF(AND(K67="deterministic_policy",M67="ya"),"PERIKSA: deterministic_policy tetapi LLM/ML ada dalam keputusan. ","")&amp;IF(AND(U67="ya",V67=""),"PERIKSA: adaptif=ya wajib ada kutipan. ","")&amp;IF(AND(R67="none",U67&lt;&gt;"n/a_tanpa_evaluasi",U67&lt;&gt;""),"PERIKSA: tanpa evaluasi, adaptif harus n/a. ","")&amp;IF(AND(OR(R67="author_run",R67="author_run+independent",R67="independent_only"),Q67=""),"PERIKSA: isi kelas_dievaluasi. ","")&amp;IF(AND(OR(R67="author_run",R67="author_run+independent",R67="independent_only"),W67=""),"PERIKSA: isi lokasi_bukti. ","")&amp;IF(AND(H67="tidak",R67&lt;&gt;""),"PERIKSA: tanpa teks lengkap, kosongkan kolom evaluasi. ",""))</f>
        <v/>
      </c>
      <c r="AC67" t="inlineStr">
        <is>
          <t>include</t>
        </is>
      </c>
    </row>
    <row r="68" ht="23.25" customHeight="1" s="21">
      <c r="A68" s="8" t="inlineStr">
        <is>
          <t>rohit-2024-model-context-protocol-mcp-security</t>
        </is>
      </c>
      <c r="B68" s="8" t="inlineStr">
        <is>
          <t>Model Context Protocol (MCP) Security and Tenancy Boundaries</t>
        </is>
      </c>
      <c r="C68" s="8" t="n">
        <v>2024</v>
      </c>
      <c r="D68" s="8" t="inlineStr">
        <is>
          <t>E1</t>
        </is>
      </c>
      <c r="E68" s="8" t="inlineStr">
        <is>
          <t>kandidat_agent</t>
        </is>
      </c>
      <c r="F68" s="8" t="inlineStr">
        <is>
          <t>proposal_only</t>
        </is>
      </c>
      <c r="G68" s="9" t="inlineStr">
        <is>
          <t>https://doi.org/10.63282/3050-9416.ijaibdcms-v5i1p118</t>
        </is>
      </c>
      <c r="H68" s="10" t="inlineStr">
        <is>
          <t>ya</t>
        </is>
      </c>
      <c r="I68" s="10" t="inlineStr">
        <is>
          <t>defense_primary</t>
        </is>
      </c>
      <c r="J68" s="10" t="inlineStr">
        <is>
          <t>Tenant-Aware MCP Framework</t>
        </is>
      </c>
      <c r="K68" s="10" t="inlineStr">
        <is>
          <t>deterministic_policy</t>
        </is>
      </c>
      <c r="L68" s="10" t="inlineStr">
        <is>
          <t>Kerangka keamanan multi-tenant MCP yang menerapkan penandaan konteks kriptografis (tenant_id, session_id), validasi kebijakan runtime OPA, dan isolasi Nitro Enclaves untuk mencegah context bleed antar-tenant.</t>
        </is>
      </c>
      <c r="M68" s="10" t="inlineStr">
        <is>
          <t>tidak</t>
        </is>
      </c>
      <c r="N68" s="10" t="inlineStr">
        <is>
          <t>gateway_proxy</t>
        </is>
      </c>
      <c r="O68" s="10" t="inlineStr">
        <is>
          <t>R2;R3;R5;R6</t>
        </is>
      </c>
      <c r="P68" s="10" t="inlineStr">
        <is>
          <t>A2;C2;C3;D1</t>
        </is>
      </c>
      <c r="Q68" s="10" t="inlineStr">
        <is>
          <t>A2;C2;D1</t>
        </is>
      </c>
      <c r="R68" s="10" t="inlineStr">
        <is>
          <t>author_run</t>
        </is>
      </c>
      <c r="S68" s="10" t="n"/>
      <c r="T68" s="10" t="inlineStr">
        <is>
          <t>authors_own</t>
        </is>
      </c>
      <c r="U68" s="10" t="inlineStr">
        <is>
          <t>tidak</t>
        </is>
      </c>
      <c r="V68" s="10" t="n"/>
      <c r="W68" s="10" t="inlineStr">
        <is>
          <t>Sec. 4.2; Sec. 5.1; hal. 184-186</t>
        </is>
      </c>
      <c r="X68" s="10" t="inlineStr">
        <is>
          <t>none</t>
        </is>
      </c>
      <c r="Y68" s="10" t="inlineStr">
        <is>
          <t>latensi +2.7% (Sec. 5.1.1, hal. 185) / latensi isolasi 35 ms ke 48 ms (Sec. 4.2.2, hal. 184)</t>
        </is>
      </c>
      <c r="Z68" s="10" t="inlineStr">
        <is>
          <t>Teks lengkap diunduh dari IJAIBDCMS (OJS). Simulasi &gt;10.000 runs, 1.000 concurrent tenants: mengeliminasi context leakage rate dari 2.6% ke 0% (Sec. 5.1.1); akurasi isolasi 99.97%; latensi overhead 2.7%.</t>
        </is>
      </c>
      <c r="AA68" s="11">
        <f>IF(I68="","",IF(OR(I68="attack",I68="survey_review",I68="benchmark_measurement",I68="position_other",I68="not_defense"),"n/a",IF(OR(X68="spec_normatif",X68="produksi_bukti_publik"),"L3",IF(ISNUMBER(SEARCH("independent",R68)),"L2",IF(R68="author_run","L1",IF(R68="none","L0",""))))))</f>
        <v/>
      </c>
      <c r="AB68" s="11">
        <f>IF(I68="","",IF(AND(K68="deterministic_policy",M68="ya"),"PERIKSA: deterministic_policy tetapi LLM/ML ada dalam keputusan. ","")&amp;IF(AND(U68="ya",V68=""),"PERIKSA: adaptif=ya wajib ada kutipan. ","")&amp;IF(AND(R68="none",U68&lt;&gt;"n/a_tanpa_evaluasi",U68&lt;&gt;""),"PERIKSA: tanpa evaluasi, adaptif harus n/a. ","")&amp;IF(AND(OR(R68="author_run",R68="author_run+independent",R68="independent_only"),Q68=""),"PERIKSA: isi kelas_dievaluasi. ","")&amp;IF(AND(OR(R68="author_run",R68="author_run+independent",R68="independent_only"),W68=""),"PERIKSA: isi lokasi_bukti. ","")&amp;IF(AND(H68="tidak",R68&lt;&gt;""),"PERIKSA: tanpa teks lengkap, kosongkan kolom evaluasi. ",""))</f>
        <v/>
      </c>
      <c r="AC68" t="inlineStr">
        <is>
          <t>include</t>
        </is>
      </c>
    </row>
    <row r="69" ht="23.25" customHeight="1" s="21">
      <c r="A69" s="12" t="inlineStr">
        <is>
          <t>s-2025-model-context-protocol-context-aware</t>
        </is>
      </c>
      <c r="B69" s="12" t="inlineStr">
        <is>
          <t>Model Context Protocol: A Context-Aware Framework for Enhancing Cybersecurity in Dynamic Environments</t>
        </is>
      </c>
      <c r="C69" s="12" t="n">
        <v>2025</v>
      </c>
      <c r="D69" s="12" t="inlineStr">
        <is>
          <t>E1</t>
        </is>
      </c>
      <c r="E69" s="12" t="inlineStr">
        <is>
          <t>kandidat_agent</t>
        </is>
      </c>
      <c r="F69" s="12" t="inlineStr">
        <is>
          <t>proposal_only</t>
        </is>
      </c>
      <c r="G69" s="13" t="inlineStr">
        <is>
          <t>https://doi.org/10.55041/ijsrem49289</t>
        </is>
      </c>
      <c r="H69" s="12" t="inlineStr">
        <is>
          <t>tidak</t>
        </is>
      </c>
      <c r="I69" s="12" t="inlineStr">
        <is>
          <t>not_defense</t>
        </is>
      </c>
      <c r="J69" s="12" t="n"/>
      <c r="K69" s="12" t="n"/>
      <c r="L69" s="12" t="n"/>
      <c r="M69" s="12" t="n"/>
      <c r="N69" s="12" t="n"/>
      <c r="O69" s="12" t="n"/>
      <c r="P69" s="12" t="n"/>
      <c r="Q69" s="12" t="n"/>
      <c r="R69" s="12" t="n"/>
      <c r="S69" s="12" t="n"/>
      <c r="T69" s="12" t="n"/>
      <c r="U69" s="12" t="n"/>
      <c r="V69" s="12" t="n"/>
      <c r="W69" s="12" t="n"/>
      <c r="X69" s="12" t="n"/>
      <c r="Y69" s="12" t="n"/>
      <c r="Z69" s="12" t="inlineStr">
        <is>
          <t>[AUDIT_v5_EXCLUDE: EC1] Dikeluarkan dari korpus MCP-spesifik oleh audit reviewer kedua v5. (audit lanjutan; diterima koordinator)</t>
        </is>
      </c>
      <c r="AA69" s="12">
        <f>IF(I69="","",IF(OR(I69="attack",I69="survey_review",I69="benchmark_measurement",I69="position_other",I69="not_defense"),"n/a",IF(OR(X69="spec_normatif",X69="produksi_bukti_publik"),"L3",IF(ISNUMBER(SEARCH("independent",R69)),"L2",IF(R69="author_run","L1",IF(R69="none","L0",""))))))</f>
        <v/>
      </c>
      <c r="AB69" s="12">
        <f>IF(I69="","",IF(AND(K69="deterministic_policy",M69="ya"),"PERIKSA: deterministic_policy tetapi LLM/ML ada dalam keputusan. ","")&amp;IF(AND(U69="ya",V69=""),"PERIKSA: adaptif=ya wajib ada kutipan. ","")&amp;IF(AND(R69="none",U69&lt;&gt;"n/a_tanpa_evaluasi",U69&lt;&gt;""),"PERIKSA: tanpa evaluasi, adaptif harus n/a. ","")&amp;IF(AND(OR(R69="author_run",R69="author_run+independent",R69="independent_only"),Q69=""),"PERIKSA: isi kelas_dievaluasi. ","")&amp;IF(AND(OR(R69="author_run",R69="author_run+independent",R69="independent_only"),W69=""),"PERIKSA: isi lokasi_bukti. ","")&amp;IF(AND(H69="tidak",R69&lt;&gt;""),"PERIKSA: tanpa teks lengkap, kosongkan kolom evaluasi. ",""))</f>
        <v/>
      </c>
      <c r="AC69" s="14" t="inlineStr">
        <is>
          <t>exclude</t>
        </is>
      </c>
      <c r="AD69" s="14" t="inlineStr">
        <is>
          <t>EC1</t>
        </is>
      </c>
      <c r="AE69" s="14" t="inlineStr">
        <is>
          <t>audit lanjutan; diterima koordinator</t>
        </is>
      </c>
    </row>
    <row r="70" ht="23.25" customHeight="1" s="21">
      <c r="A70" s="8" t="inlineStr">
        <is>
          <t>s-2025-zero-trust-security-frameworks-model</t>
        </is>
      </c>
      <c r="B70" s="8" t="inlineStr">
        <is>
          <t>Zero-Trust Security Frameworks for Model Context Protocol (MCP) Server Communications</t>
        </is>
      </c>
      <c r="C70" s="8" t="n">
        <v>2025</v>
      </c>
      <c r="D70" s="8" t="inlineStr">
        <is>
          <t>E1</t>
        </is>
      </c>
      <c r="E70" s="8" t="inlineStr">
        <is>
          <t>kandidat_agent</t>
        </is>
      </c>
      <c r="F70" s="8" t="inlineStr">
        <is>
          <t>proposal_only</t>
        </is>
      </c>
      <c r="G70" s="9" t="inlineStr">
        <is>
          <t>https://doi.org/10.37082/ijirmps.v13.i6.232959</t>
        </is>
      </c>
      <c r="H70" s="10" t="inlineStr">
        <is>
          <t>ya</t>
        </is>
      </c>
      <c r="I70" s="10" t="inlineStr">
        <is>
          <t>proposal_only</t>
        </is>
      </c>
      <c r="J70" s="10" t="inlineStr">
        <is>
          <t>MCP Zero-Trust Architecture Framework</t>
        </is>
      </c>
      <c r="K70" s="10" t="inlineStr">
        <is>
          <t>deterministic_policy</t>
        </is>
      </c>
      <c r="L70" s="10" t="inlineStr">
        <is>
          <t>Kerangka kerja Zero-Trust Architecture (ZTA) untuk komunikasi server MCP yang menerapkan autentikasi mutual mTLS, mikro-segmentasi jaringan, penegakan kebijakan dinamis PDP/PEP, dan telemetri logging berkelanjutan.</t>
        </is>
      </c>
      <c r="M70" s="10" t="inlineStr">
        <is>
          <t>tidak</t>
        </is>
      </c>
      <c r="N70" s="10" t="inlineStr">
        <is>
          <t>gateway_proxy</t>
        </is>
      </c>
      <c r="O70" s="10" t="inlineStr">
        <is>
          <t>R1;R2;R4;R5;R6;R7</t>
        </is>
      </c>
      <c r="P70" s="10" t="inlineStr">
        <is>
          <t>A1;A2;A3;B1;B2;C3;D3</t>
        </is>
      </c>
      <c r="Q70" s="10" t="n"/>
      <c r="R70" s="10" t="inlineStr">
        <is>
          <t>none</t>
        </is>
      </c>
      <c r="S70" s="10" t="n"/>
      <c r="T70" s="10" t="inlineStr">
        <is>
          <t>none</t>
        </is>
      </c>
      <c r="U70" s="10" t="inlineStr">
        <is>
          <t>n/a_tanpa_evaluasi</t>
        </is>
      </c>
      <c r="V70" s="10" t="n"/>
      <c r="W70" s="10" t="inlineStr">
        <is>
          <t>Sec. 3 &amp; 4, hal. 4-6</t>
        </is>
      </c>
      <c r="X70" s="10" t="inlineStr">
        <is>
          <t>none</t>
        </is>
      </c>
      <c r="Y70" s="10" t="inlineStr">
        <is>
          <t>not_reported</t>
        </is>
      </c>
      <c r="Z70" s="10" t="inlineStr">
        <is>
          <t>Makalah usulan arsitektur zero-trust untuk komunikasi server MCP (PDP/PEP, mTLS, mikrosegmentasi) tanpa evaluasi empiris pertahanan terhadap dataset serangan. KODER 1 menandai teks lengkap.</t>
        </is>
      </c>
      <c r="AA70" s="11">
        <f>IF(I70="","",IF(OR(I70="attack",I70="survey_review",I70="benchmark_measurement",I70="position_other",I70="not_defense"),"n/a",IF(OR(X70="spec_normatif",X70="produksi_bukti_publik"),"L3",IF(ISNUMBER(SEARCH("independent",R70)),"L2",IF(R70="author_run","L1",IF(R70="none","L0",""))))))</f>
        <v/>
      </c>
      <c r="AB70" s="11">
        <f>IF(I70="","",IF(AND(K70="deterministic_policy",M70="ya"),"PERIKSA: deterministic_policy tetapi LLM/ML ada dalam keputusan. ","")&amp;IF(AND(U70="ya",V70=""),"PERIKSA: adaptif=ya wajib ada kutipan. ","")&amp;IF(AND(R70="none",U70&lt;&gt;"n/a_tanpa_evaluasi",U70&lt;&gt;""),"PERIKSA: tanpa evaluasi, adaptif harus n/a. ","")&amp;IF(AND(OR(R70="author_run",R70="author_run+independent",R70="independent_only"),Q70=""),"PERIKSA: isi kelas_dievaluasi. ","")&amp;IF(AND(OR(R70="author_run",R70="author_run+independent",R70="independent_only"),W70=""),"PERIKSA: isi lokasi_bukti. ","")&amp;IF(AND(H70="tidak",R70&lt;&gt;""),"PERIKSA: tanpa teks lengkap, kosongkan kolom evaluasi. ",""))</f>
        <v/>
      </c>
      <c r="AC70" t="inlineStr">
        <is>
          <t>include</t>
        </is>
      </c>
    </row>
    <row r="71" ht="34.5" customHeight="1" s="21">
      <c r="A71" s="8" t="inlineStr">
        <is>
          <t>sanjeeva-2026-security-threats-model-context-protocol</t>
        </is>
      </c>
      <c r="B71" s="8" t="inlineStr">
        <is>
          <t>Security Threats in the Model Context Protocol: A Comprehensive Survey and Trust Boundary Mitigation Framework for Agentic AI Systems</t>
        </is>
      </c>
      <c r="C71" s="8" t="n">
        <v>2026</v>
      </c>
      <c r="D71" s="8" t="inlineStr">
        <is>
          <t>E1</t>
        </is>
      </c>
      <c r="E71" s="8" t="inlineStr">
        <is>
          <t>kandidat_agent</t>
        </is>
      </c>
      <c r="F71" s="8" t="inlineStr">
        <is>
          <t>proposal_only</t>
        </is>
      </c>
      <c r="G71" s="9" t="inlineStr">
        <is>
          <t>https://doi.org/10.21275/sr26316110418</t>
        </is>
      </c>
      <c r="H71" s="10" t="inlineStr">
        <is>
          <t>tidak</t>
        </is>
      </c>
      <c r="I71" s="10" t="inlineStr">
        <is>
          <t>survey_review</t>
        </is>
      </c>
      <c r="J71" s="10" t="n"/>
      <c r="K71" s="10" t="n"/>
      <c r="L71" s="10" t="n"/>
      <c r="M71" s="10" t="n"/>
      <c r="N71" s="10" t="n"/>
      <c r="O71" s="10" t="n"/>
      <c r="P71" s="10" t="n"/>
      <c r="Q71" s="10" t="n"/>
      <c r="R71" s="10" t="n"/>
      <c r="S71" s="10" t="n"/>
      <c r="T71" s="10" t="n"/>
      <c r="U71" s="10" t="n"/>
      <c r="V71" s="10" t="n"/>
      <c r="W71" s="10" t="n"/>
      <c r="X71" s="10" t="n"/>
      <c r="Y71" s="10" t="n"/>
      <c r="Z71" s="10" t="inlineStr">
        <is>
          <t>[NON-OA / ABSTRACT-ONLY] Makalah survei komprehensif ancaman keamanan MCP (IJSR, DOI: 10.21275/sr26316110418) yang mensintesis 7 CVE, 11 insiden keamanan, dan taksonomi 10 kelas ancaman serta meninjau 41 makalah pertahanan. Sesuai Pedoman, dikodekan sebagai survey_review.</t>
        </is>
      </c>
      <c r="AA71" s="11">
        <f>IF(I71="","",IF(OR(I71="attack",I71="survey_review",I71="benchmark_measurement",I71="position_other",I71="not_defense"),"n/a",IF(OR(X71="spec_normatif",X71="produksi_bukti_publik"),"L3",IF(ISNUMBER(SEARCH("independent",R71)),"L2",IF(R71="author_run","L1",IF(R71="none","L0",""))))))</f>
        <v/>
      </c>
      <c r="AB71" s="11">
        <f>IF(I71="","",IF(AND(K71="deterministic_policy",M71="ya"),"PERIKSA: deterministic_policy tetapi LLM/ML ada dalam keputusan. ","")&amp;IF(AND(U71="ya",V71=""),"PERIKSA: adaptif=ya wajib ada kutipan. ","")&amp;IF(AND(R71="none",U71&lt;&gt;"n/a_tanpa_evaluasi",U71&lt;&gt;""),"PERIKSA: tanpa evaluasi, adaptif harus n/a. ","")&amp;IF(AND(OR(R71="author_run",R71="author_run+independent",R71="independent_only"),Q71=""),"PERIKSA: isi kelas_dievaluasi. ","")&amp;IF(AND(OR(R71="author_run",R71="author_run+independent",R71="independent_only"),W71=""),"PERIKSA: isi lokasi_bukti. ","")&amp;IF(AND(H71="tidak",R71&lt;&gt;""),"PERIKSA: tanpa teks lengkap, kosongkan kolom evaluasi. ",""))</f>
        <v/>
      </c>
      <c r="AC71" t="inlineStr">
        <is>
          <t>include</t>
        </is>
      </c>
    </row>
    <row r="72" ht="23.25" customHeight="1" s="21">
      <c r="A72" s="8" t="inlineStr">
        <is>
          <t>sunil-2026-zero-trust-supply-chain-security</t>
        </is>
      </c>
      <c r="B72" s="8" t="inlineStr">
        <is>
          <t>A Zero-Trust Supply Chain Security Framework for Model Context Protocol-based AI Systems</t>
        </is>
      </c>
      <c r="C72" s="8" t="n">
        <v>2026</v>
      </c>
      <c r="D72" s="8" t="inlineStr">
        <is>
          <t>E1</t>
        </is>
      </c>
      <c r="E72" s="8" t="inlineStr">
        <is>
          <t>kandidat_agent</t>
        </is>
      </c>
      <c r="F72" s="8" t="inlineStr">
        <is>
          <t>proposal_only</t>
        </is>
      </c>
      <c r="G72" s="9" t="inlineStr">
        <is>
          <t>https://doi.org/10.1109/iccbi68589.2026.11619741</t>
        </is>
      </c>
      <c r="H72" s="10" t="inlineStr">
        <is>
          <t>ya</t>
        </is>
      </c>
      <c r="I72" s="10" t="inlineStr">
        <is>
          <t>defense_primary</t>
        </is>
      </c>
      <c r="J72" s="10" t="inlineStr">
        <is>
          <t>ContextGuard</t>
        </is>
      </c>
      <c r="K72" s="10" t="inlineStr">
        <is>
          <t>integrity_provenance</t>
        </is>
      </c>
      <c r="L72" s="10" t="inlineStr">
        <is>
          <t>Kerangka kerja zero-trust rantai pasok MCP yang menggabungkan verifikasi kriptografis (CVL), deteksi drift semantik definisi tool (DIMS), dan penegakan kebijakan (PEP).</t>
        </is>
      </c>
      <c r="M72" s="10" t="inlineStr">
        <is>
          <t>tidak</t>
        </is>
      </c>
      <c r="N72" s="10" t="inlineStr">
        <is>
          <t>gateway_proxy</t>
        </is>
      </c>
      <c r="O72" s="10" t="inlineStr">
        <is>
          <t>R1;R2;R7</t>
        </is>
      </c>
      <c r="P72" s="10" t="inlineStr">
        <is>
          <t>A1;D1;D3</t>
        </is>
      </c>
      <c r="Q72" s="10" t="inlineStr">
        <is>
          <t>A1;D1;D3</t>
        </is>
      </c>
      <c r="R72" s="10" t="inlineStr">
        <is>
          <t>author_run</t>
        </is>
      </c>
      <c r="S72" s="10" t="n"/>
      <c r="T72" s="10" t="inlineStr">
        <is>
          <t>authors_own</t>
        </is>
      </c>
      <c r="U72" s="10" t="inlineStr">
        <is>
          <t>tidak</t>
        </is>
      </c>
      <c r="V72" s="10" t="n"/>
      <c r="W72" s="10" t="inlineStr">
        <is>
          <t>Sec. VI-VII, Tabel 2 &amp; 3, hal. 4-5</t>
        </is>
      </c>
      <c r="X72" s="10" t="inlineStr">
        <is>
          <t>prototype_open_source</t>
        </is>
      </c>
      <c r="Y72" s="10" t="inlineStr">
        <is>
          <t>latensi otorisasi bertambah +1.58 ms (3.42 ms vs baseline 1.84 ms, Tabel 3)</t>
        </is>
      </c>
      <c r="Z72" s="10" t="inlineStr">
        <is>
          <t>Teks lengkap tersedia di papers/ieee. Evaluasi pada korpus 40 tool (30 berbahaya, 10 jinak) dengan deteksi 96.7%. Kode publik di https://github.com/sunilgentyala/contextguard.</t>
        </is>
      </c>
      <c r="AA72" s="11">
        <f>IF(I72="","",IF(OR(I72="attack",I72="survey_review",I72="benchmark_measurement",I72="position_other",I72="not_defense"),"n/a",IF(OR(X72="spec_normatif",X72="produksi_bukti_publik"),"L3",IF(ISNUMBER(SEARCH("independent",R72)),"L2",IF(R72="author_run","L1",IF(R72="none","L0",""))))))</f>
        <v/>
      </c>
      <c r="AB72" s="11">
        <f>IF(I72="","",IF(AND(K72="deterministic_policy",M72="ya"),"PERIKSA: deterministic_policy tetapi LLM/ML ada dalam keputusan. ","")&amp;IF(AND(U72="ya",V72=""),"PERIKSA: adaptif=ya wajib ada kutipan. ","")&amp;IF(AND(R72="none",U72&lt;&gt;"n/a_tanpa_evaluasi",U72&lt;&gt;""),"PERIKSA: tanpa evaluasi, adaptif harus n/a. ","")&amp;IF(AND(OR(R72="author_run",R72="author_run+independent",R72="independent_only"),Q72=""),"PERIKSA: isi kelas_dievaluasi. ","")&amp;IF(AND(OR(R72="author_run",R72="author_run+independent",R72="independent_only"),W72=""),"PERIKSA: isi lokasi_bukti. ","")&amp;IF(AND(H72="tidak",R72&lt;&gt;""),"PERIKSA: tanpa teks lengkap, kosongkan kolom evaluasi. ",""))</f>
        <v/>
      </c>
      <c r="AC72" t="inlineStr">
        <is>
          <t>include</t>
        </is>
      </c>
    </row>
    <row r="73" ht="23.25" customHeight="1" s="21">
      <c r="A73" s="8" t="inlineStr">
        <is>
          <t>theophilus-2026-systematic-security-analysis-model-context</t>
        </is>
      </c>
      <c r="B73" s="8" t="inlineStr">
        <is>
          <t>A Systematic Security Analysis of Model Context Protocol: Vulnerabilities, Exploits, and Mitigations</t>
        </is>
      </c>
      <c r="C73" s="8" t="n">
        <v>2026</v>
      </c>
      <c r="D73" s="8" t="inlineStr">
        <is>
          <t>E1</t>
        </is>
      </c>
      <c r="E73" s="8" t="inlineStr">
        <is>
          <t>kandidat_agent</t>
        </is>
      </c>
      <c r="F73" s="8" t="inlineStr">
        <is>
          <t>proposal_only</t>
        </is>
      </c>
      <c r="G73" s="9" t="inlineStr">
        <is>
          <t>https://doi.org/10.1109/ICAIC67076.2026.11395848</t>
        </is>
      </c>
      <c r="H73" s="10" t="inlineStr">
        <is>
          <t>ya</t>
        </is>
      </c>
      <c r="I73" s="10" t="inlineStr">
        <is>
          <t>defense_secondary</t>
        </is>
      </c>
      <c r="J73" s="10" t="inlineStr">
        <is>
          <t>Hardened MCP Defenses (Prompt Shielding, RBAC, Rate Limiting)</t>
        </is>
      </c>
      <c r="K73" s="10" t="inlineStr">
        <is>
          <t>deterministic_policy</t>
        </is>
      </c>
      <c r="L73" s="10" t="inlineStr">
        <is>
          <t>Pengerasan server MCP berlapis menggunakan Prompt Shielding (filter konteks), RBAC least-privilege, dan Rate Limiting sumber daya.</t>
        </is>
      </c>
      <c r="M73" s="10" t="inlineStr">
        <is>
          <t>tidak</t>
        </is>
      </c>
      <c r="N73" s="10" t="inlineStr">
        <is>
          <t>S</t>
        </is>
      </c>
      <c r="O73" s="10" t="inlineStr">
        <is>
          <t>R2;R3;R5</t>
        </is>
      </c>
      <c r="P73" s="10" t="inlineStr">
        <is>
          <t>A2;C1;C5;D1;OUT_OF_TAXONOMY:resource_abuse</t>
        </is>
      </c>
      <c r="Q73" s="10" t="inlineStr">
        <is>
          <t>A2;C1;C5;D1;OUT_OF_TAXONOMY:resource_abuse</t>
        </is>
      </c>
      <c r="R73" s="10" t="inlineStr">
        <is>
          <t>author_run</t>
        </is>
      </c>
      <c r="S73" s="10" t="n"/>
      <c r="T73" s="10" t="inlineStr">
        <is>
          <t>authors_own</t>
        </is>
      </c>
      <c r="U73" s="10" t="inlineStr">
        <is>
          <t>tidak</t>
        </is>
      </c>
      <c r="V73" s="10" t="n"/>
      <c r="W73" s="10" t="inlineStr">
        <is>
          <t>Sec. X-A, Tabel IV, hal. 6-7</t>
        </is>
      </c>
      <c r="X73" s="10" t="inlineStr">
        <is>
          <t>none</t>
        </is>
      </c>
      <c r="Y73" s="10" t="inlineStr">
        <is>
          <t>dilaporkan: reduksi ASR serangan (RBAC -51.3%, Prompt Shield -47.5%, Rate Limit -37.2%, Tabel IV)</t>
        </is>
      </c>
      <c r="Z73" s="10" t="inlineStr">
        <is>
          <t>Hardened MCP Defenses (defense_secondary, L1). Tabel IV: Prompt Shielding (A2/C5/D1), RBAC (C1), dan Rate Limiting (OUT_OF_TAXONOMY:resource_abuse). Penurunan ASR signifikan pada 15 server MCP.</t>
        </is>
      </c>
      <c r="AA73" s="11">
        <f>IF(I73="","",IF(OR(I73="attack",I73="survey_review",I73="benchmark_measurement",I73="position_other",I73="not_defense"),"n/a",IF(OR(X73="spec_normatif",X73="produksi_bukti_publik"),"L3",IF(ISNUMBER(SEARCH("independent",R73)),"L2",IF(R73="author_run","L1",IF(R73="none","L0",""))))))</f>
        <v/>
      </c>
      <c r="AB73" s="11">
        <f>IF(I73="","",IF(AND(K73="deterministic_policy",M73="ya"),"PERIKSA: deterministic_policy tetapi LLM/ML ada dalam keputusan. ","")&amp;IF(AND(U73="ya",V73=""),"PERIKSA: adaptif=ya wajib ada kutipan. ","")&amp;IF(AND(R73="none",U73&lt;&gt;"n/a_tanpa_evaluasi",U73&lt;&gt;""),"PERIKSA: tanpa evaluasi, adaptif harus n/a. ","")&amp;IF(AND(OR(R73="author_run",R73="author_run+independent",R73="independent_only"),Q73=""),"PERIKSA: isi kelas_dievaluasi. ","")&amp;IF(AND(OR(R73="author_run",R73="author_run+independent",R73="independent_only"),W73=""),"PERIKSA: isi lokasi_bukti. ","")&amp;IF(AND(H73="tidak",R73&lt;&gt;""),"PERIKSA: tanpa teks lengkap, kosongkan kolom evaluasi. ",""))</f>
        <v/>
      </c>
      <c r="AC73" t="inlineStr">
        <is>
          <t>include</t>
        </is>
      </c>
    </row>
    <row r="74" ht="23.25" customHeight="1" s="21">
      <c r="A74" s="8" t="inlineStr">
        <is>
          <t>vineeth-2026-enterprise-grade-security-model-context</t>
        </is>
      </c>
      <c r="B74" s="8" t="inlineStr">
        <is>
          <t>Enterprise-Grade Security for the Model Context Protocol (MCP): Frameworks and Mitigation Strategies</t>
        </is>
      </c>
      <c r="C74" s="8" t="n">
        <v>2026</v>
      </c>
      <c r="D74" s="8" t="inlineStr">
        <is>
          <t>E1</t>
        </is>
      </c>
      <c r="E74" s="8" t="inlineStr">
        <is>
          <t>kandidat_agent</t>
        </is>
      </c>
      <c r="F74" s="8" t="inlineStr">
        <is>
          <t>proposal_only</t>
        </is>
      </c>
      <c r="G74" s="9" t="inlineStr">
        <is>
          <t>https://arxiv.org/abs/2504.08623</t>
        </is>
      </c>
      <c r="H74" s="10" t="inlineStr">
        <is>
          <t>ya</t>
        </is>
      </c>
      <c r="I74" s="10" t="inlineStr">
        <is>
          <t>proposal_only</t>
        </is>
      </c>
      <c r="J74" s="10" t="inlineStr">
        <is>
          <t>Enterprise-Grade MCP Security Framework</t>
        </is>
      </c>
      <c r="K74" s="10" t="inlineStr">
        <is>
          <t>deterministic_policy</t>
        </is>
      </c>
      <c r="L74" s="10" t="inlineStr">
        <is>
          <t>Kerangka kerja pertahanan berlapis (defense-in-depth) enterprise untuk MCP yang menerapkan kontrol zero trust, pemodelan ancaman MAESTRO, autentikasi granular, dan audit telemetri.</t>
        </is>
      </c>
      <c r="M74" s="10" t="inlineStr">
        <is>
          <t>tidak</t>
        </is>
      </c>
      <c r="N74" s="10" t="inlineStr">
        <is>
          <t>gateway_proxy</t>
        </is>
      </c>
      <c r="O74" s="10" t="inlineStr">
        <is>
          <t>R1;R2;R4;R5;R6;R7</t>
        </is>
      </c>
      <c r="P74" s="10" t="inlineStr">
        <is>
          <t>A1;A2;A3;B1;B2;C3;D3</t>
        </is>
      </c>
      <c r="Q74" s="10" t="n"/>
      <c r="R74" s="10" t="inlineStr">
        <is>
          <t>none</t>
        </is>
      </c>
      <c r="S74" s="10" t="n"/>
      <c r="T74" s="10" t="inlineStr">
        <is>
          <t>none</t>
        </is>
      </c>
      <c r="U74" s="10" t="inlineStr">
        <is>
          <t>n/a_tanpa_evaluasi</t>
        </is>
      </c>
      <c r="V74" s="10" t="n"/>
      <c r="W74" s="10" t="inlineStr">
        <is>
          <t>Sec. III &amp; IV, hal. 4-9</t>
        </is>
      </c>
      <c r="X74" s="10" t="inlineStr">
        <is>
          <t>none</t>
        </is>
      </c>
      <c r="Y74" s="10" t="inlineStr">
        <is>
          <t>not_reported</t>
        </is>
      </c>
      <c r="Z74" s="10" t="inlineStr">
        <is>
          <t>KODER 1 menandai teks lengkap. Makalah usulan kerangka kerja pertahanan enterprise berlapis berbasis Zero Trust dan MAESTRO tanpa evaluasi empiris terhadap dataset serangan. Sesuai Pedoman, dikodekan sebagai proposal_only.</t>
        </is>
      </c>
      <c r="AA74" s="11">
        <f>IF(I74="","",IF(OR(I74="attack",I74="survey_review",I74="benchmark_measurement",I74="position_other",I74="not_defense"),"n/a",IF(OR(X74="spec_normatif",X74="produksi_bukti_publik"),"L3",IF(ISNUMBER(SEARCH("independent",R74)),"L2",IF(R74="author_run","L1",IF(R74="none","L0",""))))))</f>
        <v/>
      </c>
      <c r="AB74" s="11">
        <f>IF(I74="","",IF(AND(K74="deterministic_policy",M74="ya"),"PERIKSA: deterministic_policy tetapi LLM/ML ada dalam keputusan. ","")&amp;IF(AND(U74="ya",V74=""),"PERIKSA: adaptif=ya wajib ada kutipan. ","")&amp;IF(AND(R74="none",U74&lt;&gt;"n/a_tanpa_evaluasi",U74&lt;&gt;""),"PERIKSA: tanpa evaluasi, adaptif harus n/a. ","")&amp;IF(AND(OR(R74="author_run",R74="author_run+independent",R74="independent_only"),Q74=""),"PERIKSA: isi kelas_dievaluasi. ","")&amp;IF(AND(OR(R74="author_run",R74="author_run+independent",R74="independent_only"),W74=""),"PERIKSA: isi lokasi_bukti. ","")&amp;IF(AND(H74="tidak",R74&lt;&gt;""),"PERIKSA: tanpa teks lengkap, kosongkan kolom evaluasi. ",""))</f>
        <v/>
      </c>
      <c r="AC74" t="inlineStr">
        <is>
          <t>include</t>
        </is>
      </c>
    </row>
    <row r="75" ht="23.25" customHeight="1" s="21">
      <c r="A75" s="8" t="inlineStr">
        <is>
          <t>weibo-2025-when-mcp-servers-attack-taxonomy</t>
        </is>
      </c>
      <c r="B75" s="8" t="inlineStr">
        <is>
          <t>When MCP Servers Attack: Taxonomy, Feasibility, and Mitigation</t>
        </is>
      </c>
      <c r="C75" s="8" t="n">
        <v>2025</v>
      </c>
      <c r="D75" s="8" t="inlineStr">
        <is>
          <t>E2</t>
        </is>
      </c>
      <c r="E75" s="8" t="inlineStr">
        <is>
          <t>kandidat_agent</t>
        </is>
      </c>
      <c r="F75" s="8" t="inlineStr">
        <is>
          <t>proposal_only</t>
        </is>
      </c>
      <c r="G75" s="9" t="inlineStr">
        <is>
          <t>https://arxiv.org/abs/2509.24272</t>
        </is>
      </c>
      <c r="H75" s="10" t="inlineStr">
        <is>
          <t>ya</t>
        </is>
      </c>
      <c r="I75" s="10" t="inlineStr">
        <is>
          <t>attack</t>
        </is>
      </c>
      <c r="J75" s="10" t="n"/>
      <c r="K75" s="10" t="n"/>
      <c r="L75" s="10" t="n"/>
      <c r="M75" s="10" t="n"/>
      <c r="N75" s="10" t="n"/>
      <c r="O75" s="10" t="n"/>
      <c r="P75" s="10" t="n"/>
      <c r="Q75" s="10" t="n"/>
      <c r="R75" s="10" t="n"/>
      <c r="S75" s="10" t="n"/>
      <c r="T75" s="10" t="n"/>
      <c r="U75" s="10" t="n"/>
      <c r="V75" s="10" t="n"/>
      <c r="W75" s="10" t="n"/>
      <c r="X75" s="10" t="n"/>
      <c r="Y75" s="10" t="n"/>
      <c r="Z75" s="10" t="inlineStr">
        <is>
          <t>KODER 1 menandai teks lengkap. Studi sistematis dan taksonomi serangan server MCP berbahaya (12 kategori serangan, PoC servers) yang mengevaluasi kerentanan host dan kegagalan scanner yang ada. Sesuai Pedoman, dikodekan sebagai attack.</t>
        </is>
      </c>
      <c r="AA75" s="11">
        <f>IF(I75="","",IF(OR(I75="attack",I75="survey_review",I75="benchmark_measurement",I75="position_other",I75="not_defense"),"n/a",IF(OR(X75="spec_normatif",X75="produksi_bukti_publik"),"L3",IF(ISNUMBER(SEARCH("independent",R75)),"L2",IF(R75="author_run","L1",IF(R75="none","L0",""))))))</f>
        <v/>
      </c>
      <c r="AB75" s="11">
        <f>IF(I75="","",IF(AND(K75="deterministic_policy",M75="ya"),"PERIKSA: deterministic_policy tetapi LLM/ML ada dalam keputusan. ","")&amp;IF(AND(U75="ya",V75=""),"PERIKSA: adaptif=ya wajib ada kutipan. ","")&amp;IF(AND(R75="none",U75&lt;&gt;"n/a_tanpa_evaluasi",U75&lt;&gt;""),"PERIKSA: tanpa evaluasi, adaptif harus n/a. ","")&amp;IF(AND(OR(R75="author_run",R75="author_run+independent",R75="independent_only"),Q75=""),"PERIKSA: isi kelas_dievaluasi. ","")&amp;IF(AND(OR(R75="author_run",R75="author_run+independent",R75="independent_only"),W75=""),"PERIKSA: isi lokasi_bukti. ","")&amp;IF(AND(H75="tidak",R75&lt;&gt;""),"PERIKSA: tanpa teks lengkap, kosongkan kolom evaluasi. ",""))</f>
        <v/>
      </c>
      <c r="AC75" t="inlineStr">
        <is>
          <t>include</t>
        </is>
      </c>
    </row>
    <row r="76" ht="23.25" customHeight="1" s="21">
      <c r="A76" s="8" t="inlineStr">
        <is>
          <t>xinyi-2026-model-context-protocol-mcp-landscape</t>
        </is>
      </c>
      <c r="B76" s="8" t="inlineStr">
        <is>
          <t>Model Context Protocol (MCP): Landscape, Security Threats, and Future Research Directions</t>
        </is>
      </c>
      <c r="C76" s="8" t="n">
        <v>2026</v>
      </c>
      <c r="D76" s="8" t="inlineStr">
        <is>
          <t>E1</t>
        </is>
      </c>
      <c r="E76" s="8" t="inlineStr">
        <is>
          <t>kandidat_agent</t>
        </is>
      </c>
      <c r="F76" s="8" t="inlineStr">
        <is>
          <t>proposal_only</t>
        </is>
      </c>
      <c r="G76" s="9" t="inlineStr">
        <is>
          <t>https://arxiv.org/abs/2503.23278</t>
        </is>
      </c>
      <c r="H76" s="10" t="inlineStr">
        <is>
          <t>ya</t>
        </is>
      </c>
      <c r="I76" s="10" t="inlineStr">
        <is>
          <t>survey_review</t>
        </is>
      </c>
      <c r="J76" s="10" t="n"/>
      <c r="K76" s="10" t="n"/>
      <c r="L76" s="10" t="n"/>
      <c r="M76" s="10" t="n"/>
      <c r="N76" s="10" t="n"/>
      <c r="O76" s="10" t="n"/>
      <c r="P76" s="10" t="n"/>
      <c r="Q76" s="10" t="n"/>
      <c r="R76" s="10" t="n"/>
      <c r="S76" s="10" t="n"/>
      <c r="T76" s="10" t="n"/>
      <c r="U76" s="10" t="n"/>
      <c r="V76" s="10" t="n"/>
      <c r="W76" s="10" t="n"/>
      <c r="X76" s="10" t="n"/>
      <c r="Y76" s="10" t="n"/>
      <c r="Z76" s="10" t="inlineStr">
        <is>
          <t>KODER 1 menandai teks lengkap. Makalah survei komprehensif mengenai lanskap ekosistem MCP, arsitektur protokol, ancaman keamanan, dan arah riset masa depan. Sesuai Pedoman, dikodekan sebagai survey_review.</t>
        </is>
      </c>
      <c r="AA76" s="11">
        <f>IF(I76="","",IF(OR(I76="attack",I76="survey_review",I76="benchmark_measurement",I76="position_other",I76="not_defense"),"n/a",IF(OR(X76="spec_normatif",X76="produksi_bukti_publik"),"L3",IF(ISNUMBER(SEARCH("independent",R76)),"L2",IF(R76="author_run","L1",IF(R76="none","L0",""))))))</f>
        <v/>
      </c>
      <c r="AB76" s="11">
        <f>IF(I76="","",IF(AND(K76="deterministic_policy",M76="ya"),"PERIKSA: deterministic_policy tetapi LLM/ML ada dalam keputusan. ","")&amp;IF(AND(U76="ya",V76=""),"PERIKSA: adaptif=ya wajib ada kutipan. ","")&amp;IF(AND(R76="none",U76&lt;&gt;"n/a_tanpa_evaluasi",U76&lt;&gt;""),"PERIKSA: tanpa evaluasi, adaptif harus n/a. ","")&amp;IF(AND(OR(R76="author_run",R76="author_run+independent",R76="independent_only"),Q76=""),"PERIKSA: isi kelas_dievaluasi. ","")&amp;IF(AND(OR(R76="author_run",R76="author_run+independent",R76="independent_only"),W76=""),"PERIKSA: isi lokasi_bukti. ","")&amp;IF(AND(H76="tidak",R76&lt;&gt;""),"PERIKSA: tanpa teks lengkap, kosongkan kolom evaluasi. ",""))</f>
        <v/>
      </c>
      <c r="AC76" t="inlineStr">
        <is>
          <t>include</t>
        </is>
      </c>
    </row>
    <row r="77" ht="23.25" customHeight="1" s="21">
      <c r="A77" s="8" t="inlineStr">
        <is>
          <t>john-2026-mcp-safety-audit-llms-model</t>
        </is>
      </c>
      <c r="B77" s="8" t="inlineStr">
        <is>
          <t>MCP safety audit: LLMs with the model context protocol allow major security exploits</t>
        </is>
      </c>
      <c r="C77" s="8" t="n">
        <v>2026</v>
      </c>
      <c r="D77" s="8" t="inlineStr">
        <is>
          <t>E2</t>
        </is>
      </c>
      <c r="E77" s="8" t="inlineStr">
        <is>
          <t>kandidat_agent</t>
        </is>
      </c>
      <c r="F77" s="8" t="inlineStr">
        <is>
          <t>secondary</t>
        </is>
      </c>
      <c r="G77" s="9" t="inlineStr">
        <is>
          <t>https://arxiv.org/abs/2504.03767</t>
        </is>
      </c>
      <c r="H77" s="10" t="inlineStr">
        <is>
          <t>ya</t>
        </is>
      </c>
      <c r="I77" s="10" t="inlineStr">
        <is>
          <t>defense_secondary</t>
        </is>
      </c>
      <c r="J77" s="10" t="inlineStr">
        <is>
          <t>McpSafetyScanner</t>
        </is>
      </c>
      <c r="K77" s="10" t="inlineStr">
        <is>
          <t>content_inspection_static</t>
        </is>
      </c>
      <c r="L77" s="10" t="inlineStr">
        <is>
          <t>Pemindai kerentanan multi-agen otomatis (McpSafetyScanner) bertenaga LLM yang memindai konfigurasi perkakas MCP, mendeteksi potensi eksploitasi (MCE, RAC, pencurian kredensial), dan menghasilkan saran remediasi keamanan.</t>
        </is>
      </c>
      <c r="M77" s="10" t="inlineStr">
        <is>
          <t>ya</t>
        </is>
      </c>
      <c r="N77" s="10" t="inlineStr">
        <is>
          <t>offline_analysis</t>
        </is>
      </c>
      <c r="O77" s="10" t="inlineStr">
        <is>
          <t>R2;R6;R7</t>
        </is>
      </c>
      <c r="P77" s="10" t="inlineStr">
        <is>
          <t>A1;A2;C5;D1;D3</t>
        </is>
      </c>
      <c r="Q77" s="10" t="inlineStr">
        <is>
          <t>A2;C5;D1</t>
        </is>
      </c>
      <c r="R77" s="10" t="inlineStr">
        <is>
          <t>author_run+independent</t>
        </is>
      </c>
      <c r="S77" s="10" t="inlineStr">
        <is>
          <t>pengyu-2026-viper-mcp-detecting-exploiting-taint; zhiyuan-2026-confused-deputy-attack-model-context</t>
        </is>
      </c>
      <c r="T77" s="10" t="inlineStr">
        <is>
          <t>authors_own</t>
        </is>
      </c>
      <c r="U77" s="10" t="inlineStr">
        <is>
          <t>tidak</t>
        </is>
      </c>
      <c r="V77" s="10" t="n"/>
      <c r="W77" s="10" t="inlineStr">
        <is>
          <t>Sec. 5 &amp; 7, Tabel 2 &amp; 3, Gbr 20 &amp; 21, hal. 6-9, 25-27</t>
        </is>
      </c>
      <c r="X77" s="10" t="inlineStr">
        <is>
          <t>prototype_open_source</t>
        </is>
      </c>
      <c r="Y77" s="10" t="inlineStr">
        <is>
          <t>Runtime kurang dari satu menit per pemindaian pada Apple M2 Max MacBook Pro</t>
        </is>
      </c>
      <c r="Z77" s="10" t="inlineStr">
        <is>
          <t>McpSafetyScanner (defense_secondary, L2). Audit otomatis konfigurasi MCP untuk MCE/RAC (C5), prompt/tool manipulation (A2), credential theft (D1). Dua evaluator independen: VIPER-MCP (Tabel 2, hal. 11) dan Zhiyuan-2026 (Tabel 8, hal. 21). Repositori resmi: github.com/johnhalloran321/mcpSafetyScanner. Repositori/artefak: https://github.com/johnhalloran321/mcpSafetyScanner.</t>
        </is>
      </c>
      <c r="AA77" s="11">
        <f>IF(I77="","",IF(OR(I77="attack",I77="survey_review",I77="benchmark_measurement",I77="position_other",I77="not_defense"),"n/a",IF(OR(X77="spec_normatif",X77="produksi_bukti_publik"),"L3",IF(ISNUMBER(SEARCH("independent",R77)),"L2",IF(R77="author_run","L1",IF(R77="none","L0",""))))))</f>
        <v/>
      </c>
      <c r="AB77" s="11">
        <f>IF(I77="","",IF(AND(K77="deterministic_policy",M77="ya"),"PERIKSA: deterministic_policy tetapi LLM/ML ada dalam keputusan. ","")&amp;IF(AND(U77="ya",V77=""),"PERIKSA: adaptif=ya wajib ada kutipan. ","")&amp;IF(AND(R77="none",U77&lt;&gt;"n/a_tanpa_evaluasi",U77&lt;&gt;""),"PERIKSA: tanpa evaluasi, adaptif harus n/a. ","")&amp;IF(AND(OR(R77="author_run",R77="author_run+independent",R77="independent_only"),Q77=""),"PERIKSA: isi kelas_dievaluasi. ","")&amp;IF(AND(OR(R77="author_run",R77="author_run+independent",R77="independent_only"),W77=""),"PERIKSA: isi lokasi_bukti. ","")&amp;IF(AND(H77="tidak",R77&lt;&gt;""),"PERIKSA: tanpa teks lengkap, kosongkan kolom evaluasi. ",""))</f>
        <v/>
      </c>
      <c r="AC77" t="inlineStr">
        <is>
          <t>include</t>
        </is>
      </c>
    </row>
    <row r="78" ht="34.5" customHeight="1" s="21">
      <c r="A78" s="8" t="inlineStr">
        <is>
          <t>panduranga-2026-delegation-trust-empirical-gap-analysis</t>
        </is>
      </c>
      <c r="B78" s="8" t="inlineStr">
        <is>
          <t>Delegation Without Trust: An Empirical Gap Analysis of Identity, Authorization, and Runtime Governance in Multi-Agent LLM Systems</t>
        </is>
      </c>
      <c r="C78" s="8" t="n">
        <v>2026</v>
      </c>
      <c r="D78" s="8" t="inlineStr">
        <is>
          <t>E2</t>
        </is>
      </c>
      <c r="E78" s="8" t="inlineStr">
        <is>
          <t>kandidat_agent</t>
        </is>
      </c>
      <c r="F78" s="8" t="inlineStr">
        <is>
          <t>secondary</t>
        </is>
      </c>
      <c r="G78" s="9" t="inlineStr">
        <is>
          <t>https://arxiv.org/abs/2609.00267</t>
        </is>
      </c>
      <c r="H78" s="10" t="inlineStr">
        <is>
          <t>ya</t>
        </is>
      </c>
      <c r="I78" s="10" t="inlineStr">
        <is>
          <t>defense_secondary</t>
        </is>
      </c>
      <c r="J78" s="10" t="inlineStr">
        <is>
          <t>Trust Broker (Delegation Governance Broker)</t>
        </is>
      </c>
      <c r="K78" s="10" t="inlineStr">
        <is>
          <t>capability_or_token</t>
        </is>
      </c>
      <c r="L78" s="10" t="inlineStr">
        <is>
          <t>Broker tata kelola delegasi berbasis kapabilitas yang menerapkan sender-constrained tokens, workload identity (SPIFFE/mTLS), dan pembatasan radius dampak untuk mencegah eskalasi wewenang dan pembajakan delegasi agen.</t>
        </is>
      </c>
      <c r="M78" s="10" t="inlineStr">
        <is>
          <t>tidak</t>
        </is>
      </c>
      <c r="N78" s="10" t="inlineStr">
        <is>
          <t>gateway_proxy</t>
        </is>
      </c>
      <c r="O78" s="10" t="inlineStr">
        <is>
          <t>R1;R2;R3;R5</t>
        </is>
      </c>
      <c r="P78" s="10" t="inlineStr">
        <is>
          <t>A1;A3;B2;C1;C3</t>
        </is>
      </c>
      <c r="Q78" s="10" t="inlineStr">
        <is>
          <t>C1;C3</t>
        </is>
      </c>
      <c r="R78" s="10" t="inlineStr">
        <is>
          <t>author_run</t>
        </is>
      </c>
      <c r="S78" s="10" t="n"/>
      <c r="T78" s="10" t="inlineStr">
        <is>
          <t>authors_own</t>
        </is>
      </c>
      <c r="U78" s="10" t="inlineStr">
        <is>
          <t>ya</t>
        </is>
      </c>
      <c r="V78" s="10" t="inlineStr">
        <is>
          <t>Beyond the four scenarios, we run a suite that actively attacks the broker's own design: forging a token from scratch.</t>
        </is>
      </c>
      <c r="W78" s="10" t="inlineStr">
        <is>
          <t>Sec. 7; Table 4; hal. 7-8</t>
        </is>
      </c>
      <c r="X78" s="10" t="inlineStr">
        <is>
          <t>none</t>
        </is>
      </c>
      <c r="Y78" s="10" t="inlineStr">
        <is>
          <t>Broker latency minimal tanpa pemanggilan LLM; membatasi blast radius dari 8.100 aksi menjadi rata-rata 1.5 aksi</t>
        </is>
      </c>
      <c r="Z78" s="10" t="inlineStr">
        <is>
          <t>Trust Broker menggunakan token kapabilitas Macaroon/Biscuit-style dengan caveat teratenuasi dan SVID mTLS. Tanpa repo publik (deployment=none). Adaptif=ya (11 serangan terarah desain oleh penulis).</t>
        </is>
      </c>
      <c r="AA78" s="11">
        <f>IF(I78="","",IF(OR(I78="attack",I78="survey_review",I78="benchmark_measurement",I78="position_other",I78="not_defense"),"n/a",IF(OR(X78="spec_normatif",X78="produksi_bukti_publik"),"L3",IF(ISNUMBER(SEARCH("independent",R78)),"L2",IF(R78="author_run","L1",IF(R78="none","L0",""))))))</f>
        <v/>
      </c>
      <c r="AB78" s="11">
        <f>IF(I78="","",IF(AND(K78="deterministic_policy",M78="ya"),"PERIKSA: deterministic_policy tetapi LLM/ML ada dalam keputusan. ","")&amp;IF(AND(U78="ya",V78=""),"PERIKSA: adaptif=ya wajib ada kutipan. ","")&amp;IF(AND(R78="none",U78&lt;&gt;"n/a_tanpa_evaluasi",U78&lt;&gt;""),"PERIKSA: tanpa evaluasi, adaptif harus n/a. ","")&amp;IF(AND(OR(R78="author_run",R78="author_run+independent",R78="independent_only"),Q78=""),"PERIKSA: isi kelas_dievaluasi. ","")&amp;IF(AND(OR(R78="author_run",R78="author_run+independent",R78="independent_only"),W78=""),"PERIKSA: isi lokasi_bukti. ","")&amp;IF(AND(H78="tidak",R78&lt;&gt;""),"PERIKSA: tanpa teks lengkap, kosongkan kolom evaluasi. ",""))</f>
        <v/>
      </c>
      <c r="AC78" t="inlineStr">
        <is>
          <t>include</t>
        </is>
      </c>
    </row>
    <row r="79" ht="23.25" customHeight="1" s="21">
      <c r="A79" s="8" t="inlineStr">
        <is>
          <t>shi-2026-when-manual-lies-realistic-benchmark</t>
        </is>
      </c>
      <c r="B79" s="8" t="inlineStr">
        <is>
          <t>When the Manual Lies: A Realistic Benchmark to Evaluate MCP Poisoning Attacks for LLM Agents</t>
        </is>
      </c>
      <c r="C79" s="8" t="n">
        <v>2026</v>
      </c>
      <c r="D79" s="8" t="inlineStr">
        <is>
          <t>E1</t>
        </is>
      </c>
      <c r="E79" s="8" t="inlineStr">
        <is>
          <t>kandidat_agent</t>
        </is>
      </c>
      <c r="F79" s="8" t="inlineStr">
        <is>
          <t>secondary</t>
        </is>
      </c>
      <c r="G79" s="9" t="inlineStr">
        <is>
          <t>https://arxiv.org/abs/2605.24069</t>
        </is>
      </c>
      <c r="H79" s="10" t="inlineStr">
        <is>
          <t>ya</t>
        </is>
      </c>
      <c r="I79" s="10" t="inlineStr">
        <is>
          <t>benchmark_measurement</t>
        </is>
      </c>
      <c r="J79" s="10" t="n"/>
      <c r="K79" s="10" t="n"/>
      <c r="L79" s="10" t="n"/>
      <c r="M79" s="10" t="n"/>
      <c r="N79" s="10" t="n"/>
      <c r="O79" s="10" t="n"/>
      <c r="P79" s="10" t="n"/>
      <c r="Q79" s="10" t="n"/>
      <c r="R79" s="10" t="n"/>
      <c r="S79" s="10" t="n"/>
      <c r="T79" s="10" t="n"/>
      <c r="U79" s="10" t="n"/>
      <c r="V79" s="10" t="n"/>
      <c r="W79" s="10" t="n"/>
      <c r="X79" s="10" t="n"/>
      <c r="Y79" s="10" t="n"/>
      <c r="Z79" s="10" t="inlineStr">
        <is>
          <t>KODER 1 menandai teks lengkap. Makalah benchmark empiris (MCP-TDP Security Benchmark) yang mengevaluasi kerentanan serangan peracunan deskripsi alat pada agen MCP dan menguji kelemahan baseline guardrail yang ada (LlamaGuard) tanpa mengusulkan mitigasi baru penulis. Sesuai Pedoman, dikodekan sebagai benchmark_measurement.</t>
        </is>
      </c>
      <c r="AA79" s="11">
        <f>IF(I79="","",IF(OR(I79="attack",I79="survey_review",I79="benchmark_measurement",I79="position_other",I79="not_defense"),"n/a",IF(OR(X79="spec_normatif",X79="produksi_bukti_publik"),"L3",IF(ISNUMBER(SEARCH("independent",R79)),"L2",IF(R79="author_run","L1",IF(R79="none","L0",""))))))</f>
        <v/>
      </c>
      <c r="AB79" s="11">
        <f>IF(I79="","",IF(AND(K79="deterministic_policy",M79="ya"),"PERIKSA: deterministic_policy tetapi LLM/ML ada dalam keputusan. ","")&amp;IF(AND(U79="ya",V79=""),"PERIKSA: adaptif=ya wajib ada kutipan. ","")&amp;IF(AND(R79="none",U79&lt;&gt;"n/a_tanpa_evaluasi",U79&lt;&gt;""),"PERIKSA: tanpa evaluasi, adaptif harus n/a. ","")&amp;IF(AND(OR(R79="author_run",R79="author_run+independent",R79="independent_only"),Q79=""),"PERIKSA: isi kelas_dievaluasi. ","")&amp;IF(AND(OR(R79="author_run",R79="author_run+independent",R79="independent_only"),W79=""),"PERIKSA: isi lokasi_bukti. ","")&amp;IF(AND(H79="tidak",R79&lt;&gt;""),"PERIKSA: tanpa teks lengkap, kosongkan kolom evaluasi. ",""))</f>
        <v/>
      </c>
      <c r="AC79" t="inlineStr">
        <is>
          <t>include</t>
        </is>
      </c>
    </row>
    <row r="80" ht="34.5" customHeight="1" s="21">
      <c r="A80" s="8" t="inlineStr">
        <is>
          <t>tarek-2025-bridging-ai-software-security-comparative</t>
        </is>
      </c>
      <c r="B80" s="8" t="inlineStr">
        <is>
          <t>Bridging AI and Software Security: A Comparative Vulnerability Assessment of LLM Agent Deployment Paradigms</t>
        </is>
      </c>
      <c r="C80" s="8" t="n">
        <v>2025</v>
      </c>
      <c r="D80" s="8" t="inlineStr">
        <is>
          <t>E2</t>
        </is>
      </c>
      <c r="E80" s="8" t="inlineStr">
        <is>
          <t>kandidat_agent</t>
        </is>
      </c>
      <c r="F80" s="8" t="inlineStr">
        <is>
          <t>secondary</t>
        </is>
      </c>
      <c r="G80" s="9" t="inlineStr">
        <is>
          <t>https://arxiv.org/abs/2507.06323</t>
        </is>
      </c>
      <c r="H80" s="10" t="inlineStr">
        <is>
          <t>ya</t>
        </is>
      </c>
      <c r="I80" s="10" t="inlineStr">
        <is>
          <t>benchmark_measurement</t>
        </is>
      </c>
      <c r="J80" s="10" t="n"/>
      <c r="K80" s="10" t="n"/>
      <c r="L80" s="10" t="n"/>
      <c r="M80" s="10" t="n"/>
      <c r="N80" s="10" t="n"/>
      <c r="O80" s="10" t="n"/>
      <c r="P80" s="10" t="n"/>
      <c r="Q80" s="10" t="n"/>
      <c r="R80" s="10" t="n"/>
      <c r="S80" s="10" t="n"/>
      <c r="T80" s="10" t="n"/>
      <c r="U80" s="10" t="n"/>
      <c r="V80" s="10" t="n"/>
      <c r="W80" s="10" t="n"/>
      <c r="X80" s="10" t="n"/>
      <c r="Y80" s="10" t="n"/>
      <c r="Z80" s="10" t="inlineStr">
        <is>
          <t>KODER 1 menandai teks lengkap. Studi penilaian kerentanan komparatif empiris (3.250 skenario serangan) yang membandingkan paradigma Function Calling vs MCP pada 7 model bahasa tanpa mengusulkan mitigasi baru penulis. Sesuai Pedoman, dikodekan sebagai benchmark_measurement.</t>
        </is>
      </c>
      <c r="AA80" s="11">
        <f>IF(I80="","",IF(OR(I80="attack",I80="survey_review",I80="benchmark_measurement",I80="position_other",I80="not_defense"),"n/a",IF(OR(X80="spec_normatif",X80="produksi_bukti_publik"),"L3",IF(ISNUMBER(SEARCH("independent",R80)),"L2",IF(R80="author_run","L1",IF(R80="none","L0",""))))))</f>
        <v/>
      </c>
      <c r="AB80" s="11">
        <f>IF(I80="","",IF(AND(K80="deterministic_policy",M80="ya"),"PERIKSA: deterministic_policy tetapi LLM/ML ada dalam keputusan. ","")&amp;IF(AND(U80="ya",V80=""),"PERIKSA: adaptif=ya wajib ada kutipan. ","")&amp;IF(AND(R80="none",U80&lt;&gt;"n/a_tanpa_evaluasi",U80&lt;&gt;""),"PERIKSA: tanpa evaluasi, adaptif harus n/a. ","")&amp;IF(AND(OR(R80="author_run",R80="author_run+independent",R80="independent_only"),Q80=""),"PERIKSA: isi kelas_dievaluasi. ","")&amp;IF(AND(OR(R80="author_run",R80="author_run+independent",R80="independent_only"),W80=""),"PERIKSA: isi lokasi_bukti. ","")&amp;IF(AND(H80="tidak",R80&lt;&gt;""),"PERIKSA: tanpa teks lengkap, kosongkan kolom evaluasi. ",""))</f>
        <v/>
      </c>
      <c r="AC80" t="inlineStr">
        <is>
          <t>include</t>
        </is>
      </c>
    </row>
    <row r="81" ht="23.25" customHeight="1" s="21">
      <c r="A81" s="8" t="inlineStr">
        <is>
          <t>yuanhe-2025-leechhijack-covert-computational-resource-exploitation</t>
        </is>
      </c>
      <c r="B81" s="8" t="inlineStr">
        <is>
          <t>LeechHijack: Covert Computational Resource Exploitation in Intelligent Agent Systems</t>
        </is>
      </c>
      <c r="C81" s="8" t="n">
        <v>2025</v>
      </c>
      <c r="D81" s="8" t="inlineStr">
        <is>
          <t>E2</t>
        </is>
      </c>
      <c r="E81" s="8" t="inlineStr">
        <is>
          <t>kandidat_agent</t>
        </is>
      </c>
      <c r="F81" s="8" t="inlineStr">
        <is>
          <t>secondary</t>
        </is>
      </c>
      <c r="G81" s="9" t="inlineStr">
        <is>
          <t>https://arxiv.org/abs/2512.02321</t>
        </is>
      </c>
      <c r="H81" s="10" t="inlineStr">
        <is>
          <t>ya</t>
        </is>
      </c>
      <c r="I81" s="10" t="inlineStr">
        <is>
          <t>defense_secondary</t>
        </is>
      </c>
      <c r="J81" s="10" t="inlineStr">
        <is>
          <t>LLM-as-a-Judge Defense for LeechHijack</t>
        </is>
      </c>
      <c r="K81" s="10" t="inlineStr">
        <is>
          <t>content_inspection_runtime</t>
        </is>
      </c>
      <c r="L81" s="10" t="inlineStr">
        <is>
          <t>Detektor berbasis LLM-as-a-judge yang menganalisis prompt dan respons tool untuk mendeteksi pembajakan komputasi terselubung pada agen MCP.</t>
        </is>
      </c>
      <c r="M81" s="10" t="inlineStr">
        <is>
          <t>ya</t>
        </is>
      </c>
      <c r="N81" s="10" t="inlineStr">
        <is>
          <t>gateway_proxy</t>
        </is>
      </c>
      <c r="O81" s="10" t="inlineStr">
        <is>
          <t>R2</t>
        </is>
      </c>
      <c r="P81" s="10" t="inlineStr">
        <is>
          <t>OUT_OF_TAXONOMY:resource_abuse</t>
        </is>
      </c>
      <c r="Q81" s="10" t="inlineStr">
        <is>
          <t>OUT_OF_TAXONOMY:resource_abuse</t>
        </is>
      </c>
      <c r="R81" s="10" t="inlineStr">
        <is>
          <t>author_run</t>
        </is>
      </c>
      <c r="S81" s="10" t="n"/>
      <c r="T81" s="10" t="inlineStr">
        <is>
          <t>authors_own</t>
        </is>
      </c>
      <c r="U81" s="10" t="inlineStr">
        <is>
          <t>tidak</t>
        </is>
      </c>
      <c r="V81" s="10" t="n"/>
      <c r="W81" s="10" t="inlineStr">
        <is>
          <t>Sec. 5.6 &amp; 6, Tabel 12-15</t>
        </is>
      </c>
      <c r="X81" s="10" t="inlineStr">
        <is>
          <t>none</t>
        </is>
      </c>
      <c r="Y81" s="10" t="inlineStr">
        <is>
          <t>not_reported</t>
        </is>
      </c>
      <c r="Z81" s="10" t="inlineStr">
        <is>
          <t>Makalah serangan LeechHijack yang mengimplementasikan dan mengevaluasi mekanisme mitigasi LLM-as-a-judge (F1 hingga 0,96, rata-rata 0,71 di Tabel 12-15). Dikodekan sebagai defense_secondary sesuai Pedoman Bagian 3.</t>
        </is>
      </c>
      <c r="AA81" s="11">
        <f>IF(I81="","",IF(OR(I81="attack",I81="survey_review",I81="benchmark_measurement",I81="position_other",I81="not_defense"),"n/a",IF(OR(X81="spec_normatif",X81="produksi_bukti_publik"),"L3",IF(ISNUMBER(SEARCH("independent",R81)),"L2",IF(R81="author_run","L1",IF(R81="none","L0",""))))))</f>
        <v/>
      </c>
      <c r="AB81" s="11">
        <f>IF(I81="","",IF(AND(K81="deterministic_policy",M81="ya"),"PERIKSA: deterministic_policy tetapi LLM/ML ada dalam keputusan. ","")&amp;IF(AND(U81="ya",V81=""),"PERIKSA: adaptif=ya wajib ada kutipan. ","")&amp;IF(AND(R81="none",U81&lt;&gt;"n/a_tanpa_evaluasi",U81&lt;&gt;""),"PERIKSA: tanpa evaluasi, adaptif harus n/a. ","")&amp;IF(AND(OR(R81="author_run",R81="author_run+independent",R81="independent_only"),Q81=""),"PERIKSA: isi kelas_dievaluasi. ","")&amp;IF(AND(OR(R81="author_run",R81="author_run+independent",R81="independent_only"),W81=""),"PERIKSA: isi lokasi_bukti. ","")&amp;IF(AND(H81="tidak",R81&lt;&gt;""),"PERIKSA: tanpa teks lengkap, kosongkan kolom evaluasi. ",""))</f>
        <v/>
      </c>
      <c r="AC81" t="inlineStr">
        <is>
          <t>include</t>
        </is>
      </c>
    </row>
    <row r="82" ht="23.25" customHeight="1" s="21">
      <c r="A82" s="8" t="inlineStr">
        <is>
          <t>arash-2025-mcp-bridge-lightweight-llm-agnostic</t>
        </is>
      </c>
      <c r="B82" s="8" t="inlineStr">
        <is>
          <t>MCP Bridge: A Lightweight, LLM-Agnostic RESTful Proxy for Model Context Protocol Servers</t>
        </is>
      </c>
      <c r="C82" s="8" t="n">
        <v>2025</v>
      </c>
      <c r="D82" s="8" t="inlineStr">
        <is>
          <t>E2</t>
        </is>
      </c>
      <c r="E82" s="8" t="inlineStr">
        <is>
          <t>kandidat_cek_recall</t>
        </is>
      </c>
      <c r="F82" s="8" t="inlineStr">
        <is>
          <t>none</t>
        </is>
      </c>
      <c r="G82" s="9" t="inlineStr">
        <is>
          <t>https://arxiv.org/abs/2504.08999</t>
        </is>
      </c>
      <c r="H82" s="10" t="inlineStr">
        <is>
          <t>ya</t>
        </is>
      </c>
      <c r="I82" s="10" t="inlineStr">
        <is>
          <t>position_other</t>
        </is>
      </c>
      <c r="J82" s="10" t="n"/>
      <c r="K82" s="10" t="n"/>
      <c r="L82" s="10" t="n"/>
      <c r="M82" s="10" t="n"/>
      <c r="N82" s="10" t="n"/>
      <c r="O82" s="10" t="n"/>
      <c r="P82" s="10" t="n"/>
      <c r="Q82" s="10" t="n"/>
      <c r="R82" s="10" t="n"/>
      <c r="S82" s="10" t="n"/>
      <c r="T82" s="10" t="n"/>
      <c r="U82" s="10" t="n"/>
      <c r="V82" s="10" t="n"/>
      <c r="W82" s="10" t="n"/>
      <c r="X82" s="10" t="n"/>
      <c r="Y82" s="10" t="n"/>
      <c r="Z82" s="10" t="inlineStr">
        <is>
          <t>Agent Recall: BUKAN_PERTAHANAN - Makalah rekayasa sistem/platform proxy RESTful untuk eksekusi server MCP di lingkungan resource-constrained; evaluasi berfokus pada latensi, throughput, dan fine-tuning Qwen3 pada MCPToolBench++, tanpa evaluasi mitigasi serangan keamanan.</t>
        </is>
      </c>
      <c r="AA82" s="11">
        <f>IF(I82="","",IF(OR(I82="attack",I82="survey_review",I82="benchmark_measurement",I82="position_other",I82="not_defense"),"n/a",IF(OR(X82="spec_normatif",X82="produksi_bukti_publik"),"L3",IF(ISNUMBER(SEARCH("independent",R82)),"L2",IF(R82="author_run","L1",IF(R82="none","L0",""))))))</f>
        <v/>
      </c>
      <c r="AB82" s="11">
        <f>IF(I82="","",IF(AND(K82="deterministic_policy",M82="ya"),"PERIKSA: deterministic_policy tetapi LLM/ML ada dalam keputusan. ","")&amp;IF(AND(U82="ya",V82=""),"PERIKSA: adaptif=ya wajib ada kutipan. ","")&amp;IF(AND(R82="none",U82&lt;&gt;"n/a_tanpa_evaluasi",U82&lt;&gt;""),"PERIKSA: tanpa evaluasi, adaptif harus n/a. ","")&amp;IF(AND(OR(R82="author_run",R82="author_run+independent",R82="independent_only"),Q82=""),"PERIKSA: isi kelas_dievaluasi. ","")&amp;IF(AND(OR(R82="author_run",R82="author_run+independent",R82="independent_only"),W82=""),"PERIKSA: isi lokasi_bukti. ","")&amp;IF(AND(H82="tidak",R82&lt;&gt;""),"PERIKSA: tanpa teks lengkap, kosongkan kolom evaluasi. ",""))</f>
        <v/>
      </c>
      <c r="AC82" t="inlineStr">
        <is>
          <t>include</t>
        </is>
      </c>
    </row>
    <row r="83" ht="34.5" customHeight="1" s="21">
      <c r="A83" s="8" t="inlineStr">
        <is>
          <t>biwei-2025-mcp-not-stand-misuse-cryptography</t>
        </is>
      </c>
      <c r="B83" s="8" t="inlineStr">
        <is>
          <t>"MCP Does Not Stand for Misuse Cryptography Protocol": Uncovering Cryptographic Misuse in Model Context Protocol at Scale</t>
        </is>
      </c>
      <c r="C83" s="8" t="n">
        <v>2025</v>
      </c>
      <c r="D83" s="8" t="inlineStr">
        <is>
          <t>E2</t>
        </is>
      </c>
      <c r="E83" s="8" t="inlineStr">
        <is>
          <t>kandidat_cek_recall</t>
        </is>
      </c>
      <c r="F83" s="8" t="inlineStr">
        <is>
          <t>none</t>
        </is>
      </c>
      <c r="G83" s="9" t="inlineStr">
        <is>
          <t>https://arxiv.org/abs/2512.03775</t>
        </is>
      </c>
      <c r="H83" s="10" t="inlineStr">
        <is>
          <t>ya</t>
        </is>
      </c>
      <c r="I83" s="10" t="inlineStr">
        <is>
          <t>defense_primary</t>
        </is>
      </c>
      <c r="J83" s="10" t="inlineStr">
        <is>
          <t>MICRYSCOPE</t>
        </is>
      </c>
      <c r="K83" s="10" t="inlineStr">
        <is>
          <t>content_inspection_static</t>
        </is>
      </c>
      <c r="L83" s="10" t="inlineStr">
        <is>
          <t>Kerangka analisis statis berbasis taint analysis dan intermediate representation untuk mendeteksi penyalahgunaan kriptografi (hardcoded keys, algoritma lemah, insecure transport) pada server MCP.</t>
        </is>
      </c>
      <c r="M83" s="10" t="inlineStr">
        <is>
          <t>tidak</t>
        </is>
      </c>
      <c r="N83" s="10" t="inlineStr">
        <is>
          <t>offline_analysis</t>
        </is>
      </c>
      <c r="O83" s="10" t="inlineStr">
        <is>
          <t>R4;R5</t>
        </is>
      </c>
      <c r="P83" s="10" t="inlineStr">
        <is>
          <t>C3;C5</t>
        </is>
      </c>
      <c r="Q83" s="10" t="inlineStr">
        <is>
          <t>C3;C5</t>
        </is>
      </c>
      <c r="R83" s="10" t="inlineStr">
        <is>
          <t>author_run</t>
        </is>
      </c>
      <c r="S83" s="10" t="n"/>
      <c r="T83" s="10" t="inlineStr">
        <is>
          <t>third_party_public</t>
        </is>
      </c>
      <c r="U83" s="10" t="inlineStr">
        <is>
          <t>tidak</t>
        </is>
      </c>
      <c r="V83" s="10" t="n"/>
      <c r="W83" s="10" t="inlineStr">
        <is>
          <t>Sec. 5, Fig. 8, Tabel 2-4</t>
        </is>
      </c>
      <c r="X83" s="10" t="inlineStr">
        <is>
          <t>none</t>
        </is>
      </c>
      <c r="Y83" s="10" t="inlineStr">
        <is>
          <t>not_reported</t>
        </is>
      </c>
      <c r="Z83" s="10" t="inlineStr">
        <is>
          <t>Kerangka pemindaian statis MICRYSCOPE untuk audit kriptografi pada implementasi server MCP ekosistem terbuka. Catatan deployment: prototipe internal/eksperimental (belum dirilis secara publik).</t>
        </is>
      </c>
      <c r="AA83" s="11">
        <f>IF(I83="","",IF(OR(I83="attack",I83="survey_review",I83="benchmark_measurement",I83="position_other",I83="not_defense"),"n/a",IF(OR(X83="spec_normatif",X83="produksi_bukti_publik"),"L3",IF(ISNUMBER(SEARCH("independent",R83)),"L2",IF(R83="author_run","L1",IF(R83="none","L0",""))))))</f>
        <v/>
      </c>
      <c r="AB83" s="11">
        <f>IF(I83="","",IF(AND(K83="deterministic_policy",M83="ya"),"PERIKSA: deterministic_policy tetapi LLM/ML ada dalam keputusan. ","")&amp;IF(AND(U83="ya",V83=""),"PERIKSA: adaptif=ya wajib ada kutipan. ","")&amp;IF(AND(R83="none",U83&lt;&gt;"n/a_tanpa_evaluasi",U83&lt;&gt;""),"PERIKSA: tanpa evaluasi, adaptif harus n/a. ","")&amp;IF(AND(OR(R83="author_run",R83="author_run+independent",R83="independent_only"),Q83=""),"PERIKSA: isi kelas_dievaluasi. ","")&amp;IF(AND(OR(R83="author_run",R83="author_run+independent",R83="independent_only"),W83=""),"PERIKSA: isi lokasi_bukti. ","")&amp;IF(AND(H83="tidak",R83&lt;&gt;""),"PERIKSA: tanpa teks lengkap, kosongkan kolom evaluasi. ",""))</f>
        <v/>
      </c>
      <c r="AC83" t="inlineStr">
        <is>
          <t>include</t>
        </is>
      </c>
    </row>
    <row r="84" ht="23.25" customHeight="1" s="21">
      <c r="A84" s="8" t="inlineStr">
        <is>
          <t>charoes-2026-model-context-protocol-threat-modeling</t>
        </is>
      </c>
      <c r="B84" s="8" t="inlineStr">
        <is>
          <t>Model Context Protocol Threat Modeling and Analyzing Vulnerabilities to Prompt Injection with Tool Poisoning</t>
        </is>
      </c>
      <c r="C84" s="8" t="n">
        <v>2026</v>
      </c>
      <c r="D84" s="8" t="inlineStr">
        <is>
          <t>E1</t>
        </is>
      </c>
      <c r="E84" s="8" t="inlineStr">
        <is>
          <t>kandidat_cek_recall</t>
        </is>
      </c>
      <c r="F84" s="8" t="inlineStr">
        <is>
          <t>none</t>
        </is>
      </c>
      <c r="G84" s="9" t="inlineStr">
        <is>
          <t>https://arxiv.org/abs/2603.22489</t>
        </is>
      </c>
      <c r="H84" s="10" t="inlineStr">
        <is>
          <t>ya</t>
        </is>
      </c>
      <c r="I84" s="10" t="inlineStr">
        <is>
          <t>survey_review</t>
        </is>
      </c>
      <c r="J84" s="10" t="n"/>
      <c r="K84" s="10" t="n"/>
      <c r="L84" s="10" t="n"/>
      <c r="M84" s="10" t="n"/>
      <c r="N84" s="10" t="n"/>
      <c r="O84" s="10" t="n"/>
      <c r="P84" s="10" t="n"/>
      <c r="Q84" s="10" t="n"/>
      <c r="R84" s="10" t="n"/>
      <c r="S84" s="10" t="n"/>
      <c r="T84" s="10" t="n"/>
      <c r="U84" s="10" t="n"/>
      <c r="V84" s="10" t="n"/>
      <c r="W84" s="10" t="n"/>
      <c r="X84" s="10" t="n"/>
      <c r="Y84" s="10" t="n"/>
      <c r="Z84" s="10" t="inlineStr">
        <is>
          <t>Pemodelan ancaman komprehensif STRIDE/DREAD (57 ancaman) untuk klien MCP dan evaluasi empiris kerentanan tool poisoning pada 7 klien MCP. Dikodekan sebagai survey_review (threat model) sesuai Pedoman Bagian 3.</t>
        </is>
      </c>
      <c r="AA84" s="11">
        <f>IF(I84="","",IF(OR(I84="attack",I84="survey_review",I84="benchmark_measurement",I84="position_other",I84="not_defense"),"n/a",IF(OR(X84="spec_normatif",X84="produksi_bukti_publik"),"L3",IF(ISNUMBER(SEARCH("independent",R84)),"L2",IF(R84="author_run","L1",IF(R84="none","L0",""))))))</f>
        <v/>
      </c>
      <c r="AB84" s="11">
        <f>IF(I84="","",IF(AND(K84="deterministic_policy",M84="ya"),"PERIKSA: deterministic_policy tetapi LLM/ML ada dalam keputusan. ","")&amp;IF(AND(U84="ya",V84=""),"PERIKSA: adaptif=ya wajib ada kutipan. ","")&amp;IF(AND(R84="none",U84&lt;&gt;"n/a_tanpa_evaluasi",U84&lt;&gt;""),"PERIKSA: tanpa evaluasi, adaptif harus n/a. ","")&amp;IF(AND(OR(R84="author_run",R84="author_run+independent",R84="independent_only"),Q84=""),"PERIKSA: isi kelas_dievaluasi. ","")&amp;IF(AND(OR(R84="author_run",R84="author_run+independent",R84="independent_only"),W84=""),"PERIKSA: isi lokasi_bukti. ","")&amp;IF(AND(H84="tidak",R84&lt;&gt;""),"PERIKSA: tanpa teks lengkap, kosongkan kolom evaluasi. ",""))</f>
        <v/>
      </c>
      <c r="AC84" t="inlineStr">
        <is>
          <t>include</t>
        </is>
      </c>
    </row>
    <row r="85" ht="23.25" customHeight="1" s="21">
      <c r="A85" s="8" t="inlineStr">
        <is>
          <t>haoran-2025-quantifying-conversation-drift-mcp-via</t>
        </is>
      </c>
      <c r="B85" s="8" t="inlineStr">
        <is>
          <t>Quantifying Conversation Drift in MCP via Latent Polytope</t>
        </is>
      </c>
      <c r="C85" s="8" t="n">
        <v>2025</v>
      </c>
      <c r="D85" s="8" t="inlineStr">
        <is>
          <t>E2</t>
        </is>
      </c>
      <c r="E85" s="8" t="inlineStr">
        <is>
          <t>kandidat_cek_recall</t>
        </is>
      </c>
      <c r="F85" s="8" t="inlineStr">
        <is>
          <t>none</t>
        </is>
      </c>
      <c r="G85" s="9" t="inlineStr">
        <is>
          <t>https://arxiv.org/abs/2508.06418</t>
        </is>
      </c>
      <c r="H85" s="10" t="inlineStr">
        <is>
          <t>ya</t>
        </is>
      </c>
      <c r="I85" s="10" t="inlineStr">
        <is>
          <t>defense_primary</t>
        </is>
      </c>
      <c r="J85" s="10" t="inlineStr">
        <is>
          <t>SECMCP</t>
        </is>
      </c>
      <c r="K85" s="10" t="inlineStr">
        <is>
          <t>content_inspection_runtime</t>
        </is>
      </c>
      <c r="L85" s="10" t="inlineStr">
        <is>
          <t>Mendeteksi pergeseran percakapan (conversation drift) pada interaksi MCP dengan mengukur lintasan ruang laten menggunakan analisis politop laten untuk memitigasi manipulasi resource adversarial.</t>
        </is>
      </c>
      <c r="M85" s="10" t="inlineStr">
        <is>
          <t>tidak</t>
        </is>
      </c>
      <c r="N85" s="10" t="inlineStr">
        <is>
          <t>gateway_proxy</t>
        </is>
      </c>
      <c r="O85" s="10" t="inlineStr">
        <is>
          <t>R2;R6</t>
        </is>
      </c>
      <c r="P85" s="10" t="inlineStr">
        <is>
          <t>A2;D2</t>
        </is>
      </c>
      <c r="Q85" s="10" t="inlineStr">
        <is>
          <t>A2;D2</t>
        </is>
      </c>
      <c r="R85" s="10" t="inlineStr">
        <is>
          <t>author_run</t>
        </is>
      </c>
      <c r="S85" s="10" t="n"/>
      <c r="T85" s="10" t="inlineStr">
        <is>
          <t>mixed</t>
        </is>
      </c>
      <c r="U85" s="10" t="inlineStr">
        <is>
          <t>tidak</t>
        </is>
      </c>
      <c r="V85" s="10" t="n"/>
      <c r="W85" s="10" t="inlineStr">
        <is>
          <t>Sec. 4-5, Table 1-3, Fig. 3</t>
        </is>
      </c>
      <c r="X85" s="10" t="inlineStr">
        <is>
          <t>none</t>
        </is>
      </c>
      <c r="Y85" s="10" t="inlineStr">
        <is>
          <t>dilaporkan: dampak utilitas jinak dapat diabaikan (Tabel 3)</t>
        </is>
      </c>
      <c r="Z85" s="10" t="inlineStr">
        <is>
          <t>SECMCP mendeteksi conversation drift pada interaksi MCP lewat pemodelan politop laten terhadap injeksi resource berbahaya. Catatan deployment: prototipe internal/eksperimental (belum dirilis secara publik).</t>
        </is>
      </c>
      <c r="AA85" s="11">
        <f>IF(I85="","",IF(OR(I85="attack",I85="survey_review",I85="benchmark_measurement",I85="position_other",I85="not_defense"),"n/a",IF(OR(X85="spec_normatif",X85="produksi_bukti_publik"),"L3",IF(ISNUMBER(SEARCH("independent",R85)),"L2",IF(R85="author_run","L1",IF(R85="none","L0",""))))))</f>
        <v/>
      </c>
      <c r="AB85" s="11">
        <f>IF(I85="","",IF(AND(K85="deterministic_policy",M85="ya"),"PERIKSA: deterministic_policy tetapi LLM/ML ada dalam keputusan. ","")&amp;IF(AND(U85="ya",V85=""),"PERIKSA: adaptif=ya wajib ada kutipan. ","")&amp;IF(AND(R85="none",U85&lt;&gt;"n/a_tanpa_evaluasi",U85&lt;&gt;""),"PERIKSA: tanpa evaluasi, adaptif harus n/a. ","")&amp;IF(AND(OR(R85="author_run",R85="author_run+independent",R85="independent_only"),Q85=""),"PERIKSA: isi kelas_dievaluasi. ","")&amp;IF(AND(OR(R85="author_run",R85="author_run+independent",R85="independent_only"),W85=""),"PERIKSA: isi lokasi_bukti. ","")&amp;IF(AND(H85="tidak",R85&lt;&gt;""),"PERIKSA: tanpa teks lengkap, kosongkan kolom evaluasi. ",""))</f>
        <v/>
      </c>
      <c r="AC85" t="inlineStr">
        <is>
          <t>include</t>
        </is>
      </c>
    </row>
    <row r="86" ht="23.25" customHeight="1" s="21">
      <c r="A86" s="8" t="inlineStr">
        <is>
          <t>huijun-2026-first-measurement-study-authentication-security</t>
        </is>
      </c>
      <c r="B86" s="8" t="inlineStr">
        <is>
          <t>A First Measurement Study on Authentication Security in Real-World Remote MCP Servers</t>
        </is>
      </c>
      <c r="C86" s="8" t="n">
        <v>2026</v>
      </c>
      <c r="D86" s="8" t="inlineStr">
        <is>
          <t>E2</t>
        </is>
      </c>
      <c r="E86" s="8" t="inlineStr">
        <is>
          <t>kandidat_cek_recall</t>
        </is>
      </c>
      <c r="F86" s="8" t="inlineStr">
        <is>
          <t>none</t>
        </is>
      </c>
      <c r="G86" s="9" t="inlineStr">
        <is>
          <t>https://arxiv.org/abs/2605.22333</t>
        </is>
      </c>
      <c r="H86" s="10" t="inlineStr">
        <is>
          <t>ya</t>
        </is>
      </c>
      <c r="I86" s="10" t="inlineStr">
        <is>
          <t>benchmark_measurement</t>
        </is>
      </c>
      <c r="J86" s="10" t="n"/>
      <c r="K86" s="10" t="n"/>
      <c r="L86" s="10" t="n"/>
      <c r="M86" s="10" t="n"/>
      <c r="N86" s="10" t="n"/>
      <c r="O86" s="10" t="n"/>
      <c r="P86" s="10" t="n"/>
      <c r="Q86" s="10" t="n"/>
      <c r="R86" s="10" t="n"/>
      <c r="S86" s="10" t="n"/>
      <c r="T86" s="10" t="n"/>
      <c r="U86" s="10" t="n"/>
      <c r="V86" s="10" t="n"/>
      <c r="W86" s="10" t="n"/>
      <c r="X86" s="10" t="n"/>
      <c r="Y86" s="10" t="n"/>
      <c r="Z86" s="10" t="inlineStr">
        <is>
          <t>Agent Recall: BUKAN_PERTAHANAN - Studi pengukuran empiris skala besar terhadap keamanan autentikasi OAuth pada 7.973 remote server MCP di dunia nyata, mengungkap 325 cacat keamanan dan 9 CVE (contoh eksplisit Pedoman Bagian 3: Zhou et al. = benchmark_measurement).</t>
        </is>
      </c>
      <c r="AA86" s="11">
        <f>IF(I86="","",IF(OR(I86="attack",I86="survey_review",I86="benchmark_measurement",I86="position_other",I86="not_defense"),"n/a",IF(OR(X86="spec_normatif",X86="produksi_bukti_publik"),"L3",IF(ISNUMBER(SEARCH("independent",R86)),"L2",IF(R86="author_run","L1",IF(R86="none","L0",""))))))</f>
        <v/>
      </c>
      <c r="AB86" s="11">
        <f>IF(I86="","",IF(AND(K86="deterministic_policy",M86="ya"),"PERIKSA: deterministic_policy tetapi LLM/ML ada dalam keputusan. ","")&amp;IF(AND(U86="ya",V86=""),"PERIKSA: adaptif=ya wajib ada kutipan. ","")&amp;IF(AND(R86="none",U86&lt;&gt;"n/a_tanpa_evaluasi",U86&lt;&gt;""),"PERIKSA: tanpa evaluasi, adaptif harus n/a. ","")&amp;IF(AND(OR(R86="author_run",R86="author_run+independent",R86="independent_only"),Q86=""),"PERIKSA: isi kelas_dievaluasi. ","")&amp;IF(AND(OR(R86="author_run",R86="author_run+independent",R86="independent_only"),W86=""),"PERIKSA: isi lokasi_bukti. ","")&amp;IF(AND(H86="tidak",R86&lt;&gt;""),"PERIKSA: tanpa teks lengkap, kosongkan kolom evaluasi. ",""))</f>
        <v/>
      </c>
      <c r="AC86" t="inlineStr">
        <is>
          <t>include</t>
        </is>
      </c>
    </row>
    <row r="87" ht="34.5" customHeight="1" s="21">
      <c r="A87" s="8" t="inlineStr">
        <is>
          <t>mehrdad-2026-trustshiftprobe-characterizing-benchmarking-defending-staged</t>
        </is>
      </c>
      <c r="B87" s="8" t="inlineStr">
        <is>
          <t>TrustShiftProbe: Characterizing, Benchmarking, and Defending Staged Trust Attacks on MCP Servers</t>
        </is>
      </c>
      <c r="C87" s="8" t="n">
        <v>2026</v>
      </c>
      <c r="D87" s="8" t="inlineStr">
        <is>
          <t>E2</t>
        </is>
      </c>
      <c r="E87" s="8" t="inlineStr">
        <is>
          <t>kandidat_cek_recall</t>
        </is>
      </c>
      <c r="F87" s="8" t="inlineStr">
        <is>
          <t>none</t>
        </is>
      </c>
      <c r="G87" s="9" t="inlineStr">
        <is>
          <t>https://arxiv.org/abs/2608.23763</t>
        </is>
      </c>
      <c r="H87" s="10" t="inlineStr">
        <is>
          <t>ya</t>
        </is>
      </c>
      <c r="I87" s="10" t="inlineStr">
        <is>
          <t>defense_primary</t>
        </is>
      </c>
      <c r="J87" s="10" t="inlineStr">
        <is>
          <t>SHIELD</t>
        </is>
      </c>
      <c r="K87" s="10" t="inlineStr">
        <is>
          <t>content_inspection_runtime</t>
        </is>
      </c>
      <c r="L87" s="10" t="inlineStr">
        <is>
          <t>Pertahanan runtime multi-tingkat pada batas transport MCP yang mengaudit payload respons server terhadap profil baseline perilaku yang dipelajari selama jendela kepercayaan bersih.</t>
        </is>
      </c>
      <c r="M87" s="10" t="inlineStr">
        <is>
          <t>tidak</t>
        </is>
      </c>
      <c r="N87" s="10" t="inlineStr">
        <is>
          <t>gateway_proxy</t>
        </is>
      </c>
      <c r="O87" s="10" t="inlineStr">
        <is>
          <t>R2;R5;R7</t>
        </is>
      </c>
      <c r="P87" s="10" t="inlineStr">
        <is>
          <t>B1;C5;D1</t>
        </is>
      </c>
      <c r="Q87" s="10" t="inlineStr">
        <is>
          <t>B1;C5;D1</t>
        </is>
      </c>
      <c r="R87" s="10" t="inlineStr">
        <is>
          <t>author_run</t>
        </is>
      </c>
      <c r="S87" s="10" t="n"/>
      <c r="T87" s="10" t="inlineStr">
        <is>
          <t>authors_own</t>
        </is>
      </c>
      <c r="U87" s="10" t="inlineStr">
        <is>
          <t>tidak</t>
        </is>
      </c>
      <c r="V87" s="10" t="n"/>
      <c r="W87" s="10" t="inlineStr">
        <is>
          <t>Sec. VI, Table III &amp; IV, Fig. 4</t>
        </is>
      </c>
      <c r="X87" s="10" t="inlineStr">
        <is>
          <t>none</t>
        </is>
      </c>
      <c r="Y87" s="10" t="inlineStr">
        <is>
          <t>dilaporkan: overhead latensi runtime (Tabel IV)</t>
        </is>
      </c>
      <c r="Z87" s="10" t="inlineStr">
        <is>
          <t>SHIELD adalah pertahanan runtime batas transport MCP terhadap serangan defeksi bertahap (TrustShift) pada server MCP. Catatan deployment: prototipe internal/eksperimental (belum dirilis secara publik).</t>
        </is>
      </c>
      <c r="AA87" s="11">
        <f>IF(I87="","",IF(OR(I87="attack",I87="survey_review",I87="benchmark_measurement",I87="position_other",I87="not_defense"),"n/a",IF(OR(X87="spec_normatif",X87="produksi_bukti_publik"),"L3",IF(ISNUMBER(SEARCH("independent",R87)),"L2",IF(R87="author_run","L1",IF(R87="none","L0",""))))))</f>
        <v/>
      </c>
      <c r="AB87" s="11">
        <f>IF(I87="","",IF(AND(K87="deterministic_policy",M87="ya"),"PERIKSA: deterministic_policy tetapi LLM/ML ada dalam keputusan. ","")&amp;IF(AND(U87="ya",V87=""),"PERIKSA: adaptif=ya wajib ada kutipan. ","")&amp;IF(AND(R87="none",U87&lt;&gt;"n/a_tanpa_evaluasi",U87&lt;&gt;""),"PERIKSA: tanpa evaluasi, adaptif harus n/a. ","")&amp;IF(AND(OR(R87="author_run",R87="author_run+independent",R87="independent_only"),Q87=""),"PERIKSA: isi kelas_dievaluasi. ","")&amp;IF(AND(OR(R87="author_run",R87="author_run+independent",R87="independent_only"),W87=""),"PERIKSA: isi lokasi_bukti. ","")&amp;IF(AND(H87="tidak",R87&lt;&gt;""),"PERIKSA: tanpa teks lengkap, kosongkan kolom evaluasi. ",""))</f>
        <v/>
      </c>
      <c r="AC87" t="inlineStr">
        <is>
          <t>include</t>
        </is>
      </c>
    </row>
    <row r="88" ht="34.5" customHeight="1" s="21">
      <c r="A88" s="8" t="inlineStr">
        <is>
          <t>mohsen-2026-securing-ai-agents-cyber-physical</t>
        </is>
      </c>
      <c r="B88" s="8" t="inlineStr">
        <is>
          <t>Securing AI Agents in Cyber-Physical Systems: A Survey of Environmental Interactions, Deepfake Threats, and Defenses</t>
        </is>
      </c>
      <c r="C88" s="8" t="n">
        <v>2026</v>
      </c>
      <c r="D88" s="8" t="inlineStr">
        <is>
          <t>E2</t>
        </is>
      </c>
      <c r="E88" s="8" t="inlineStr">
        <is>
          <t>kandidat_cek_recall</t>
        </is>
      </c>
      <c r="F88" s="8" t="inlineStr">
        <is>
          <t>none</t>
        </is>
      </c>
      <c r="G88" s="9" t="inlineStr">
        <is>
          <t>https://arxiv.org/abs/2601.20184</t>
        </is>
      </c>
      <c r="H88" s="10" t="inlineStr">
        <is>
          <t>ya</t>
        </is>
      </c>
      <c r="I88" s="10" t="inlineStr">
        <is>
          <t>survey_review</t>
        </is>
      </c>
      <c r="J88" s="10" t="n"/>
      <c r="K88" s="10" t="n"/>
      <c r="L88" s="10" t="n"/>
      <c r="M88" s="10" t="n"/>
      <c r="N88" s="10" t="n"/>
      <c r="O88" s="10" t="n"/>
      <c r="P88" s="10" t="n"/>
      <c r="Q88" s="10" t="n"/>
      <c r="R88" s="10" t="n"/>
      <c r="S88" s="10" t="n"/>
      <c r="T88" s="10" t="n"/>
      <c r="U88" s="10" t="n"/>
      <c r="V88" s="10" t="n"/>
      <c r="W88" s="10" t="n"/>
      <c r="X88" s="10" t="n"/>
      <c r="Y88" s="10" t="n"/>
      <c r="Z88" s="10" t="inlineStr">
        <is>
          <t>Agent Recall: BUKAN_PERTAHANAN - Makalah survei/tinjauan komprehensif ancaman keamanan agen AI pada cyber-physical systems termasuk kerentanan mediasi MCP dan kerangka SENTINEL (sesuai Pedoman Bagian 3 Penegasan: survei pertahanan diklasifikasikan sebagai survey_review).</t>
        </is>
      </c>
      <c r="AA88" s="11">
        <f>IF(I88="","",IF(OR(I88="attack",I88="survey_review",I88="benchmark_measurement",I88="position_other",I88="not_defense"),"n/a",IF(OR(X88="spec_normatif",X88="produksi_bukti_publik"),"L3",IF(ISNUMBER(SEARCH("independent",R88)),"L2",IF(R88="author_run","L1",IF(R88="none","L0",""))))))</f>
        <v/>
      </c>
      <c r="AB88" s="11">
        <f>IF(I88="","",IF(AND(K88="deterministic_policy",M88="ya"),"PERIKSA: deterministic_policy tetapi LLM/ML ada dalam keputusan. ","")&amp;IF(AND(U88="ya",V88=""),"PERIKSA: adaptif=ya wajib ada kutipan. ","")&amp;IF(AND(R88="none",U88&lt;&gt;"n/a_tanpa_evaluasi",U88&lt;&gt;""),"PERIKSA: tanpa evaluasi, adaptif harus n/a. ","")&amp;IF(AND(OR(R88="author_run",R88="author_run+independent",R88="independent_only"),Q88=""),"PERIKSA: isi kelas_dievaluasi. ","")&amp;IF(AND(OR(R88="author_run",R88="author_run+independent",R88="independent_only"),W88=""),"PERIKSA: isi lokasi_bukti. ","")&amp;IF(AND(H88="tidak",R88&lt;&gt;""),"PERIKSA: tanpa teks lengkap, kosongkan kolom evaluasi. ",""))</f>
        <v/>
      </c>
      <c r="AC88" t="inlineStr">
        <is>
          <t>include</t>
        </is>
      </c>
    </row>
    <row r="89" ht="34.5" customHeight="1" s="21">
      <c r="A89" s="8" t="inlineStr">
        <is>
          <t>n-2025-breaking-protocol-security-analysis-model</t>
        </is>
      </c>
      <c r="B89" s="8" t="inlineStr">
        <is>
          <t>Breaking the Protocol: Security Analysis of the Model Context Protocol Specification and Prompt Injection Vulnerabilities in Tool-Integrated LLM Agents</t>
        </is>
      </c>
      <c r="C89" s="8" t="n">
        <v>2025</v>
      </c>
      <c r="D89" s="8" t="inlineStr">
        <is>
          <t>E1</t>
        </is>
      </c>
      <c r="E89" s="8" t="inlineStr">
        <is>
          <t>kandidat_cek_recall</t>
        </is>
      </c>
      <c r="F89" s="8" t="inlineStr">
        <is>
          <t>none</t>
        </is>
      </c>
      <c r="G89" s="9" t="inlineStr">
        <is>
          <t>https://doi.org/10.25559/sitito.021.202503.420-428</t>
        </is>
      </c>
      <c r="H89" s="10" t="inlineStr">
        <is>
          <t>ya</t>
        </is>
      </c>
      <c r="I89" s="10" t="inlineStr">
        <is>
          <t>defense_secondary</t>
        </is>
      </c>
      <c r="J89" s="10" t="inlineStr">
        <is>
          <t>AttestMCP</t>
        </is>
      </c>
      <c r="K89" s="10" t="inlineStr">
        <is>
          <t>integrity_provenance</t>
        </is>
      </c>
      <c r="L89" s="10" t="inlineStr">
        <is>
          <t>Ekstensi protokol AttestMCP berbasis sertifikat kapabilitas federated CA, autentikasi pesan HMAC-SHA256, origin tagging, dan sliding window nonces untuk menjamin integritas pertukaran pesan MCP.</t>
        </is>
      </c>
      <c r="M89" s="10" t="inlineStr">
        <is>
          <t>tidak</t>
        </is>
      </c>
      <c r="N89" s="10" t="inlineStr">
        <is>
          <t>C</t>
        </is>
      </c>
      <c r="O89" s="10" t="inlineStr">
        <is>
          <t>R1;R2;R4;R6</t>
        </is>
      </c>
      <c r="P89" s="10" t="inlineStr">
        <is>
          <t>A2;C3;C5;D1</t>
        </is>
      </c>
      <c r="Q89" s="10" t="inlineStr">
        <is>
          <t>A2;D1</t>
        </is>
      </c>
      <c r="R89" s="10" t="inlineStr">
        <is>
          <t>author_run</t>
        </is>
      </c>
      <c r="S89" s="10" t="n"/>
      <c r="T89" s="10" t="inlineStr">
        <is>
          <t>authors_own</t>
        </is>
      </c>
      <c r="U89" s="10" t="inlineStr">
        <is>
          <t>tidak</t>
        </is>
      </c>
      <c r="V89" s="10" t="n"/>
      <c r="W89" s="10" t="inlineStr">
        <is>
          <t>Sec. VI; Table IX &amp; X; hal. 5-6</t>
        </is>
      </c>
      <c r="X89" s="10" t="inlineStr">
        <is>
          <t>none</t>
        </is>
      </c>
      <c r="Y89" s="10" t="inlineStr">
        <is>
          <t>latensi 2.4 ms (warm) / 8.3 ms (cold) per pesan (Tabel IX)</t>
        </is>
      </c>
      <c r="Z89" s="10" t="inlineStr">
        <is>
          <t>Teks lengkap diunduh via arXiv:2601.17549. Evaluasi empiris author_run pada benchmark ProtoAmp (847 skenario): menurunkan ASR sebesar 76.5% (dari 52.8% ke 12.4%, Tabel X); overhead latensi 2.4 ms warm / 8.3 ms cold (Tabel IX). Catatan deployment: prototipe internal/eksperimental (belum dirilis secara publik).</t>
        </is>
      </c>
      <c r="AA89" s="11">
        <f>IF(I89="","",IF(OR(I89="attack",I89="survey_review",I89="benchmark_measurement",I89="position_other",I89="not_defense"),"n/a",IF(OR(X89="spec_normatif",X89="produksi_bukti_publik"),"L3",IF(ISNUMBER(SEARCH("independent",R89)),"L2",IF(R89="author_run","L1",IF(R89="none","L0",""))))))</f>
        <v/>
      </c>
      <c r="AB89" s="11">
        <f>IF(I89="","",IF(AND(K89="deterministic_policy",M89="ya"),"PERIKSA: deterministic_policy tetapi LLM/ML ada dalam keputusan. ","")&amp;IF(AND(U89="ya",V89=""),"PERIKSA: adaptif=ya wajib ada kutipan. ","")&amp;IF(AND(R89="none",U89&lt;&gt;"n/a_tanpa_evaluasi",U89&lt;&gt;""),"PERIKSA: tanpa evaluasi, adaptif harus n/a. ","")&amp;IF(AND(OR(R89="author_run",R89="author_run+independent",R89="independent_only"),Q89=""),"PERIKSA: isi kelas_dievaluasi. ","")&amp;IF(AND(OR(R89="author_run",R89="author_run+independent",R89="independent_only"),W89=""),"PERIKSA: isi lokasi_bukti. ","")&amp;IF(AND(H89="tidak",R89&lt;&gt;""),"PERIKSA: tanpa teks lengkap, kosongkan kolom evaluasi. ",""))</f>
        <v/>
      </c>
      <c r="AC89" t="inlineStr">
        <is>
          <t>include</t>
        </is>
      </c>
    </row>
    <row r="90" ht="23.25" customHeight="1" s="21">
      <c r="A90" s="8" t="inlineStr">
        <is>
          <t>pei-2026-rethinking-mcp-security-large-scale</t>
        </is>
      </c>
      <c r="B90" s="8" t="inlineStr">
        <is>
          <t>Rethinking MCP Security: A Large-Scale Study of Runtime MCP Servers and Security Scanner Reliability</t>
        </is>
      </c>
      <c r="C90" s="8" t="n">
        <v>2026</v>
      </c>
      <c r="D90" s="8" t="inlineStr">
        <is>
          <t>E2</t>
        </is>
      </c>
      <c r="E90" s="8" t="inlineStr">
        <is>
          <t>kandidat_cek_recall</t>
        </is>
      </c>
      <c r="F90" s="8" t="inlineStr">
        <is>
          <t>none</t>
        </is>
      </c>
      <c r="G90" s="9" t="inlineStr">
        <is>
          <t>https://arxiv.org/abs/2607.11086</t>
        </is>
      </c>
      <c r="H90" s="10" t="inlineStr">
        <is>
          <t>ya</t>
        </is>
      </c>
      <c r="I90" s="10" t="inlineStr">
        <is>
          <t>benchmark_measurement</t>
        </is>
      </c>
      <c r="J90" s="10" t="n"/>
      <c r="K90" s="10" t="n"/>
      <c r="L90" s="10" t="n"/>
      <c r="M90" s="10" t="n"/>
      <c r="N90" s="10" t="n"/>
      <c r="O90" s="10" t="n"/>
      <c r="P90" s="10" t="n"/>
      <c r="Q90" s="10" t="n"/>
      <c r="R90" s="10" t="n"/>
      <c r="S90" s="10" t="n"/>
      <c r="T90" s="10" t="n"/>
      <c r="U90" s="10" t="n"/>
      <c r="V90" s="10" t="n"/>
      <c r="W90" s="10" t="n"/>
      <c r="X90" s="10" t="n"/>
      <c r="Y90" s="10" t="n"/>
      <c r="Z90" s="10" t="inlineStr">
        <is>
          <t>Agent Recall: BUKAN_PERTAHANAN - Studi pengukuran dan penyusunan dataset MCPZoo (64.611 server MCP) untuk menguji serta mengukur reliabilitas security scanner yang ada di ekosistem MCP.</t>
        </is>
      </c>
      <c r="AA90" s="11">
        <f>IF(I90="","",IF(OR(I90="attack",I90="survey_review",I90="benchmark_measurement",I90="position_other",I90="not_defense"),"n/a",IF(OR(X90="spec_normatif",X90="produksi_bukti_publik"),"L3",IF(ISNUMBER(SEARCH("independent",R90)),"L2",IF(R90="author_run","L1",IF(R90="none","L0",""))))))</f>
        <v/>
      </c>
      <c r="AB90" s="11">
        <f>IF(I90="","",IF(AND(K90="deterministic_policy",M90="ya"),"PERIKSA: deterministic_policy tetapi LLM/ML ada dalam keputusan. ","")&amp;IF(AND(U90="ya",V90=""),"PERIKSA: adaptif=ya wajib ada kutipan. ","")&amp;IF(AND(R90="none",U90&lt;&gt;"n/a_tanpa_evaluasi",U90&lt;&gt;""),"PERIKSA: tanpa evaluasi, adaptif harus n/a. ","")&amp;IF(AND(OR(R90="author_run",R90="author_run+independent",R90="independent_only"),Q90=""),"PERIKSA: isi kelas_dievaluasi. ","")&amp;IF(AND(OR(R90="author_run",R90="author_run+independent",R90="independent_only"),W90=""),"PERIKSA: isi lokasi_bukti. ","")&amp;IF(AND(H90="tidak",R90&lt;&gt;""),"PERIKSA: tanpa teks lengkap, kosongkan kolom evaluasi. ",""))</f>
        <v/>
      </c>
      <c r="AC90" t="inlineStr">
        <is>
          <t>include</t>
        </is>
      </c>
    </row>
    <row r="91" ht="23.25" customHeight="1" s="21">
      <c r="A91" s="8" t="inlineStr">
        <is>
          <t>pengyu-2026-viper-mcp-detecting-exploiting-taint</t>
        </is>
      </c>
      <c r="B91" s="8" t="inlineStr">
        <is>
          <t>VIPER-MCP: Detecting and Exploiting Taint-Style Vulnerabilities in Model Context Protocol Servers</t>
        </is>
      </c>
      <c r="C91" s="8" t="n">
        <v>2026</v>
      </c>
      <c r="D91" s="8" t="inlineStr">
        <is>
          <t>E2</t>
        </is>
      </c>
      <c r="E91" s="8" t="inlineStr">
        <is>
          <t>kandidat_cek_recall</t>
        </is>
      </c>
      <c r="F91" s="8" t="inlineStr">
        <is>
          <t>none</t>
        </is>
      </c>
      <c r="G91" s="9" t="inlineStr">
        <is>
          <t>https://arxiv.org/abs/2605.21392</t>
        </is>
      </c>
      <c r="H91" s="10" t="inlineStr">
        <is>
          <t>ya</t>
        </is>
      </c>
      <c r="I91" s="10" t="inlineStr">
        <is>
          <t>defense_primary</t>
        </is>
      </c>
      <c r="J91" s="10" t="inlineStr">
        <is>
          <t>VIPER-MCP</t>
        </is>
      </c>
      <c r="K91" s="10" t="inlineStr">
        <is>
          <t>content_inspection_static</t>
        </is>
      </c>
      <c r="L91" s="10" t="inlineStr">
        <is>
          <t>Kerangka pendeteksi kerentanan server MCP berbasis pelacakan taint hybrid (statis-dinamis) dan fuzzing terisolasi untuk mengidentifikasi eksfiltrasi dan injeksi perintah.</t>
        </is>
      </c>
      <c r="M91" s="10" t="inlineStr">
        <is>
          <t>tidak</t>
        </is>
      </c>
      <c r="N91" s="10" t="inlineStr">
        <is>
          <t>offline_analysis</t>
        </is>
      </c>
      <c r="O91" s="10" t="inlineStr">
        <is>
          <t>R2;R5</t>
        </is>
      </c>
      <c r="P91" s="10" t="inlineStr">
        <is>
          <t>A2;C5;D1</t>
        </is>
      </c>
      <c r="Q91" s="10" t="inlineStr">
        <is>
          <t>A2;C5;D1</t>
        </is>
      </c>
      <c r="R91" s="10" t="inlineStr">
        <is>
          <t>author_run</t>
        </is>
      </c>
      <c r="S91" s="10" t="n"/>
      <c r="T91" s="10" t="inlineStr">
        <is>
          <t>mixed</t>
        </is>
      </c>
      <c r="U91" s="10" t="inlineStr">
        <is>
          <t>tidak</t>
        </is>
      </c>
      <c r="V91" s="10" t="n"/>
      <c r="W91" s="10" t="inlineStr">
        <is>
          <t>Sec. 5.3, Tabel 2, hal. 10-11</t>
        </is>
      </c>
      <c r="X91" s="10" t="inlineStr">
        <is>
          <t>none</t>
        </is>
      </c>
      <c r="Y91" s="10" t="inlineStr">
        <is>
          <t>dilaporkan: waktu analisis rata-rata per server (Sec. 5.3)</t>
        </is>
      </c>
      <c r="Z91" s="10" t="inlineStr">
        <is>
          <t>VIPER-MCP (defense_primary, L1). Evaluator independen bagi McpSafetyScanner sebagai baseline pesaing di Tabel 2 (hal. 11: FPR 43.1%, FNR 63.8%). Catatan deployment: prototipe internal/eksperimental (belum dirilis secara publik).</t>
        </is>
      </c>
      <c r="AA91" s="11">
        <f>IF(I91="","",IF(OR(I91="attack",I91="survey_review",I91="benchmark_measurement",I91="position_other",I91="not_defense"),"n/a",IF(OR(X91="spec_normatif",X91="produksi_bukti_publik"),"L3",IF(ISNUMBER(SEARCH("independent",R91)),"L2",IF(R91="author_run","L1",IF(R91="none","L0",""))))))</f>
        <v/>
      </c>
      <c r="AB91" s="11">
        <f>IF(I91="","",IF(AND(K91="deterministic_policy",M91="ya"),"PERIKSA: deterministic_policy tetapi LLM/ML ada dalam keputusan. ","")&amp;IF(AND(U91="ya",V91=""),"PERIKSA: adaptif=ya wajib ada kutipan. ","")&amp;IF(AND(R91="none",U91&lt;&gt;"n/a_tanpa_evaluasi",U91&lt;&gt;""),"PERIKSA: tanpa evaluasi, adaptif harus n/a. ","")&amp;IF(AND(OR(R91="author_run",R91="author_run+independent",R91="independent_only"),Q91=""),"PERIKSA: isi kelas_dievaluasi. ","")&amp;IF(AND(OR(R91="author_run",R91="author_run+independent",R91="independent_only"),W91=""),"PERIKSA: isi lokasi_bukti. ","")&amp;IF(AND(H91="tidak",R91&lt;&gt;""),"PERIKSA: tanpa teks lengkap, kosongkan kolom evaluasi. ",""))</f>
        <v/>
      </c>
      <c r="AC91" t="inlineStr">
        <is>
          <t>include</t>
        </is>
      </c>
    </row>
    <row r="92" ht="23.25" customHeight="1" s="21">
      <c r="A92" s="12" t="inlineStr">
        <is>
          <t>pintu-2025-mcp-puf-context-hardened-ml</t>
        </is>
      </c>
      <c r="B92" s="12" t="inlineStr">
        <is>
          <t>MCP-PUF: A Context-Hardened, ML-Assisted Authentication Protocol for Secure Healthcare IoT</t>
        </is>
      </c>
      <c r="C92" s="12" t="n">
        <v>2025</v>
      </c>
      <c r="D92" s="12" t="inlineStr">
        <is>
          <t>E1</t>
        </is>
      </c>
      <c r="E92" s="12" t="inlineStr">
        <is>
          <t>kandidat_cek_recall</t>
        </is>
      </c>
      <c r="F92" s="12" t="inlineStr">
        <is>
          <t>none</t>
        </is>
      </c>
      <c r="G92" s="13" t="inlineStr">
        <is>
          <t>https://doi.org/10.1109/TEMSMET65536.2025.11467437</t>
        </is>
      </c>
      <c r="H92" s="12" t="inlineStr">
        <is>
          <t>tidak</t>
        </is>
      </c>
      <c r="I92" s="12" t="inlineStr">
        <is>
          <t>not_defense</t>
        </is>
      </c>
      <c r="J92" s="12" t="n"/>
      <c r="K92" s="12" t="n"/>
      <c r="L92" s="12" t="n"/>
      <c r="M92" s="12" t="n"/>
      <c r="N92" s="12" t="n"/>
      <c r="O92" s="12" t="n"/>
      <c r="P92" s="12" t="n"/>
      <c r="Q92" s="12" t="n"/>
      <c r="R92" s="12" t="n"/>
      <c r="S92" s="12" t="n"/>
      <c r="T92" s="12" t="n"/>
      <c r="U92" s="12" t="n"/>
      <c r="V92" s="12" t="n"/>
      <c r="W92" s="12" t="n"/>
      <c r="X92" s="12" t="n"/>
      <c r="Y92" s="12" t="n"/>
      <c r="Z92" s="12" t="inlineStr">
        <is>
          <t>[AUDIT_v5_EXCLUDE: EC5] Dikeluarkan dari korpus MCP-spesifik oleh audit reviewer kedua v5. (dikeluarkan setelah audit reviewer kedua + rekonsiliasi) | Catatan lama: Agent Recall: BUKAN_PERTAHANAN - Makalah domain autentikasi hardware IoT kesehatan menggunakan Physical Unclonable Functions (PUF) pada STM32; bukan mekanisme pertahanan keamanan sistem berbasis MCP untuk LLM.</t>
        </is>
      </c>
      <c r="AA92" s="12">
        <f>IF(I92="","",IF(OR(I92="attack",I92="survey_review",I92="benchmark_measurement",I92="position_other",I92="not_defense"),"n/a",IF(OR(X92="spec_normatif",X92="produksi_bukti_publik"),"L3",IF(ISNUMBER(SEARCH("independent",R92)),"L2",IF(R92="author_run","L1",IF(R92="none","L0",""))))))</f>
        <v/>
      </c>
      <c r="AB92" s="12">
        <f>IF(I92="","",IF(AND(K92="deterministic_policy",M92="ya"),"PERIKSA: deterministic_policy tetapi LLM/ML ada dalam keputusan. ","")&amp;IF(AND(U92="ya",V92=""),"PERIKSA: adaptif=ya wajib ada kutipan. ","")&amp;IF(AND(R92="none",U92&lt;&gt;"n/a_tanpa_evaluasi",U92&lt;&gt;""),"PERIKSA: tanpa evaluasi, adaptif harus n/a. ","")&amp;IF(AND(OR(R92="author_run",R92="author_run+independent",R92="independent_only"),Q92=""),"PERIKSA: isi kelas_dievaluasi. ","")&amp;IF(AND(OR(R92="author_run",R92="author_run+independent",R92="independent_only"),W92=""),"PERIKSA: isi lokasi_bukti. ","")&amp;IF(AND(H92="tidak",R92&lt;&gt;""),"PERIKSA: tanpa teks lengkap, kosongkan kolom evaluasi. ",""))</f>
        <v/>
      </c>
      <c r="AC92" s="14" t="inlineStr">
        <is>
          <t>exclude</t>
        </is>
      </c>
      <c r="AD92" s="14" t="inlineStr">
        <is>
          <t>EC5</t>
        </is>
      </c>
      <c r="AE92" s="14" t="inlineStr">
        <is>
          <t>dikeluarkan setelah audit reviewer kedua + rekonsiliasi</t>
        </is>
      </c>
    </row>
    <row r="93" ht="34.5" customHeight="1" s="21">
      <c r="A93" s="8" t="inlineStr">
        <is>
          <t>saeid-2025-semantic-attacks-tool-augmented-llms</t>
        </is>
      </c>
      <c r="B93" s="8" t="inlineStr">
        <is>
          <t>Semantic Attacks on Tool-Augmented LLMs: Securing the Model Context Protocol Against Descriptor-Level Manipulation</t>
        </is>
      </c>
      <c r="C93" s="8" t="n">
        <v>2025</v>
      </c>
      <c r="D93" s="8" t="inlineStr">
        <is>
          <t>E2</t>
        </is>
      </c>
      <c r="E93" s="8" t="inlineStr">
        <is>
          <t>kandidat_cek_recall</t>
        </is>
      </c>
      <c r="F93" s="8" t="inlineStr">
        <is>
          <t>none</t>
        </is>
      </c>
      <c r="G93" s="9" t="inlineStr">
        <is>
          <t>https://arxiv.org/abs/2512.06556</t>
        </is>
      </c>
      <c r="H93" s="10" t="inlineStr">
        <is>
          <t>ya</t>
        </is>
      </c>
      <c r="I93" s="10" t="inlineStr">
        <is>
          <t>defense_primary</t>
        </is>
      </c>
      <c r="J93" s="10" t="inlineStr">
        <is>
          <t>unnamed:layered semantic defense</t>
        </is>
      </c>
      <c r="K93" s="10" t="inlineStr">
        <is>
          <t>content_inspection_runtime</t>
        </is>
      </c>
      <c r="L93" s="10" t="inlineStr">
        <is>
          <t>Pertahanan berlapis yang menggabungkan verifikasi integritas deskriptor tool, pemeriksaan semantik pra-konteks via LLM pembantu, dan guardrail runtime untuk mencegah manipulasi deskriptor.</t>
        </is>
      </c>
      <c r="M93" s="10" t="inlineStr">
        <is>
          <t>ya</t>
        </is>
      </c>
      <c r="N93" s="10" t="inlineStr">
        <is>
          <t>gateway_proxy</t>
        </is>
      </c>
      <c r="O93" s="10" t="inlineStr">
        <is>
          <t>R2;R7</t>
        </is>
      </c>
      <c r="P93" s="10" t="inlineStr">
        <is>
          <t>A1;A3;B1</t>
        </is>
      </c>
      <c r="Q93" s="10" t="inlineStr">
        <is>
          <t>A1;A3;B1</t>
        </is>
      </c>
      <c r="R93" s="10" t="inlineStr">
        <is>
          <t>author_run</t>
        </is>
      </c>
      <c r="S93" s="10" t="n"/>
      <c r="T93" s="10" t="inlineStr">
        <is>
          <t>authors_own</t>
        </is>
      </c>
      <c r="U93" s="10" t="inlineStr">
        <is>
          <t>tidak</t>
        </is>
      </c>
      <c r="V93" s="10" t="n"/>
      <c r="W93" s="10" t="inlineStr">
        <is>
          <t>Sec. IV, Table 2-4, hal. 6-9</t>
        </is>
      </c>
      <c r="X93" s="10" t="inlineStr">
        <is>
          <t>none</t>
        </is>
      </c>
      <c r="Y93" s="10" t="inlineStr">
        <is>
          <t>dilaporkan: trade-off latensi dan keamanan antar arsitektur LLM (Sec. IV-C)</t>
        </is>
      </c>
      <c r="Z93" s="10" t="inlineStr">
        <is>
          <t>Mengevaluasi pertahanan berlapis terhadap manipulasi semantik deskriptor tool pada lingkungan MCP.</t>
        </is>
      </c>
      <c r="AA93" s="11">
        <f>IF(I93="","",IF(OR(I93="attack",I93="survey_review",I93="benchmark_measurement",I93="position_other",I93="not_defense"),"n/a",IF(OR(X93="spec_normatif",X93="produksi_bukti_publik"),"L3",IF(ISNUMBER(SEARCH("independent",R93)),"L2",IF(R93="author_run","L1",IF(R93="none","L0",""))))))</f>
        <v/>
      </c>
      <c r="AB93" s="11">
        <f>IF(I93="","",IF(AND(K93="deterministic_policy",M93="ya"),"PERIKSA: deterministic_policy tetapi LLM/ML ada dalam keputusan. ","")&amp;IF(AND(U93="ya",V93=""),"PERIKSA: adaptif=ya wajib ada kutipan. ","")&amp;IF(AND(R93="none",U93&lt;&gt;"n/a_tanpa_evaluasi",U93&lt;&gt;""),"PERIKSA: tanpa evaluasi, adaptif harus n/a. ","")&amp;IF(AND(OR(R93="author_run",R93="author_run+independent",R93="independent_only"),Q93=""),"PERIKSA: isi kelas_dievaluasi. ","")&amp;IF(AND(OR(R93="author_run",R93="author_run+independent",R93="independent_only"),W93=""),"PERIKSA: isi lokasi_bukti. ","")&amp;IF(AND(H93="tidak",R93&lt;&gt;""),"PERIKSA: tanpa teks lengkap, kosongkan kolom evaluasi. ",""))</f>
        <v/>
      </c>
      <c r="AC93" t="inlineStr">
        <is>
          <t>include</t>
        </is>
      </c>
    </row>
    <row r="94" ht="23.25" customHeight="1" s="21">
      <c r="A94" s="8" t="inlineStr">
        <is>
          <t>saeid-2026-verifiable-manifest-signing-transparency-enforcement</t>
        </is>
      </c>
      <c r="B94" s="8" t="inlineStr">
        <is>
          <t>Verifiable Manifest Signing and Transparency Enforcement for Secure MCP-Based LLM Pipelines</t>
        </is>
      </c>
      <c r="C94" s="8" t="n">
        <v>2026</v>
      </c>
      <c r="D94" s="8" t="inlineStr">
        <is>
          <t>E2</t>
        </is>
      </c>
      <c r="E94" s="8" t="inlineStr">
        <is>
          <t>kandidat_cek_recall</t>
        </is>
      </c>
      <c r="F94" s="8" t="inlineStr">
        <is>
          <t>none</t>
        </is>
      </c>
      <c r="G94" s="9" t="inlineStr">
        <is>
          <t>https://arxiv.org/abs/2601.23132</t>
        </is>
      </c>
      <c r="H94" s="10" t="inlineStr">
        <is>
          <t>ya</t>
        </is>
      </c>
      <c r="I94" s="10" t="inlineStr">
        <is>
          <t>defense_primary</t>
        </is>
      </c>
      <c r="J94" s="10" t="inlineStr">
        <is>
          <t>Verifiable Manifest Enforcement</t>
        </is>
      </c>
      <c r="K94" s="10" t="inlineStr">
        <is>
          <t>integrity_provenance</t>
        </is>
      </c>
      <c r="L94" s="10" t="inlineStr">
        <is>
          <t>Penegakan keamanan level manifes pada pemanggilan tool MCP menggunakan tanda tangan digital, verifikasi runtime, pengecekan kesegaran, dan pencatatan log transparansi yang dapat diaudit.</t>
        </is>
      </c>
      <c r="M94" s="10" t="inlineStr">
        <is>
          <t>tidak</t>
        </is>
      </c>
      <c r="N94" s="10" t="inlineStr">
        <is>
          <t>gateway_proxy</t>
        </is>
      </c>
      <c r="O94" s="10" t="inlineStr">
        <is>
          <t>R2;R7;PRA</t>
        </is>
      </c>
      <c r="P94" s="10" t="inlineStr">
        <is>
          <t>A1;B1;D3</t>
        </is>
      </c>
      <c r="Q94" s="10" t="inlineStr">
        <is>
          <t>A1;B1;D3</t>
        </is>
      </c>
      <c r="R94" s="10" t="inlineStr">
        <is>
          <t>author_run</t>
        </is>
      </c>
      <c r="S94" s="10" t="n"/>
      <c r="T94" s="10" t="inlineStr">
        <is>
          <t>authors_own</t>
        </is>
      </c>
      <c r="U94" s="10" t="inlineStr">
        <is>
          <t>tidak</t>
        </is>
      </c>
      <c r="V94" s="10" t="n"/>
      <c r="W94" s="10" t="inlineStr">
        <is>
          <t>Sec. IV, Table 1-3, Fig. 3</t>
        </is>
      </c>
      <c r="X94" s="10" t="inlineStr">
        <is>
          <t>none</t>
        </is>
      </c>
      <c r="Y94" s="10" t="inlineStr">
        <is>
          <t>dilaporkan: latensi verifikasi dan overhead kriptografi (Sec. IV-A)</t>
        </is>
      </c>
      <c r="Z94" s="10" t="inlineStr">
        <is>
          <t>Kerangka penegakan tanda tangan digital dan log transparansi untuk manifes pemanggilan tool MCP.</t>
        </is>
      </c>
      <c r="AA94" s="11">
        <f>IF(I94="","",IF(OR(I94="attack",I94="survey_review",I94="benchmark_measurement",I94="position_other",I94="not_defense"),"n/a",IF(OR(X94="spec_normatif",X94="produksi_bukti_publik"),"L3",IF(ISNUMBER(SEARCH("independent",R94)),"L2",IF(R94="author_run","L1",IF(R94="none","L0",""))))))</f>
        <v/>
      </c>
      <c r="AB94" s="11">
        <f>IF(I94="","",IF(AND(K94="deterministic_policy",M94="ya"),"PERIKSA: deterministic_policy tetapi LLM/ML ada dalam keputusan. ","")&amp;IF(AND(U94="ya",V94=""),"PERIKSA: adaptif=ya wajib ada kutipan. ","")&amp;IF(AND(R94="none",U94&lt;&gt;"n/a_tanpa_evaluasi",U94&lt;&gt;""),"PERIKSA: tanpa evaluasi, adaptif harus n/a. ","")&amp;IF(AND(OR(R94="author_run",R94="author_run+independent",R94="independent_only"),Q94=""),"PERIKSA: isi kelas_dievaluasi. ","")&amp;IF(AND(OR(R94="author_run",R94="author_run+independent",R94="independent_only"),W94=""),"PERIKSA: isi lokasi_bukti. ","")&amp;IF(AND(H94="tidak",R94&lt;&gt;""),"PERIKSA: tanpa teks lengkap, kosongkan kolom evaluasi. ",""))</f>
        <v/>
      </c>
      <c r="AC94" t="inlineStr">
        <is>
          <t>include</t>
        </is>
      </c>
    </row>
    <row r="95" ht="23.25" customHeight="1" s="21">
      <c r="A95" s="12" t="inlineStr">
        <is>
          <t>shaswata-2026-agenticcyops-securing-multi-agentic-ai</t>
        </is>
      </c>
      <c r="B95" s="12" t="inlineStr">
        <is>
          <t>AgenticCyOps: Securing Multi-Agentic AI Integration in Enterprise Cyber Operations</t>
        </is>
      </c>
      <c r="C95" s="12" t="n">
        <v>2026</v>
      </c>
      <c r="D95" s="12" t="inlineStr">
        <is>
          <t>E2</t>
        </is>
      </c>
      <c r="E95" s="12" t="inlineStr">
        <is>
          <t>kandidat_cek_recall</t>
        </is>
      </c>
      <c r="F95" s="12" t="inlineStr">
        <is>
          <t>none</t>
        </is>
      </c>
      <c r="G95" s="13" t="inlineStr">
        <is>
          <t>https://arxiv.org/abs/2603.09134</t>
        </is>
      </c>
      <c r="H95" s="12" t="inlineStr">
        <is>
          <t>tidak</t>
        </is>
      </c>
      <c r="I95" s="12" t="inlineStr">
        <is>
          <t>not_defense</t>
        </is>
      </c>
      <c r="J95" s="12" t="n"/>
      <c r="K95" s="12" t="n"/>
      <c r="L95" s="12" t="n"/>
      <c r="M95" s="12" t="n"/>
      <c r="N95" s="12" t="n"/>
      <c r="O95" s="12" t="n"/>
      <c r="P95" s="12" t="n"/>
      <c r="Q95" s="12" t="n"/>
      <c r="R95" s="12" t="n"/>
      <c r="S95" s="12" t="n"/>
      <c r="T95" s="12" t="n"/>
      <c r="U95" s="12" t="n"/>
      <c r="V95" s="12" t="n"/>
      <c r="W95" s="12" t="n"/>
      <c r="X95" s="12" t="n"/>
      <c r="Y95" s="12" t="n"/>
      <c r="Z95" s="12" t="inlineStr">
        <is>
          <t>[AUDIT_v5_EXCLUDE: EC2] Dikeluarkan dari korpus MCP-spesifik oleh audit reviewer kedua v5 (peran sebelumnya proposal_only didemotasi karena di luar korpus MCP). (audit lanjutan; diterima koordinator) | Catatan lama: Agent Recall: PROPOSAL_ONLY - Mengusulkan kerangka arsitektur AgenticCyOps untuk integrasi multi-agent SOC menggunakan MCP; evaluasi menggunakan analisis struktural/pemetaan prinsip, tetapi secara eksplisit mengakui belum melakukan simulasi adversarial empiris dan belum mengukur runtime overhead.</t>
        </is>
      </c>
      <c r="AA95" s="12">
        <f>IF(I95="","",IF(OR(I95="attack",I95="survey_review",I95="benchmark_measurement",I95="position_other",I95="not_defense"),"n/a",IF(OR(X95="spec_normatif",X95="produksi_bukti_publik"),"L3",IF(ISNUMBER(SEARCH("independent",R95)),"L2",IF(R95="author_run","L1",IF(R95="none","L0",""))))))</f>
        <v/>
      </c>
      <c r="AB95" s="12">
        <f>IF(I95="","",IF(AND(K95="deterministic_policy",M95="ya"),"PERIKSA: deterministic_policy tetapi LLM/ML ada dalam keputusan. ","")&amp;IF(AND(U95="ya",V95=""),"PERIKSA: adaptif=ya wajib ada kutipan. ","")&amp;IF(AND(R95="none",U95&lt;&gt;"n/a_tanpa_evaluasi",U95&lt;&gt;""),"PERIKSA: tanpa evaluasi, adaptif harus n/a. ","")&amp;IF(AND(OR(R95="author_run",R95="author_run+independent",R95="independent_only"),Q95=""),"PERIKSA: isi kelas_dievaluasi. ","")&amp;IF(AND(OR(R95="author_run",R95="author_run+independent",R95="independent_only"),W95=""),"PERIKSA: isi lokasi_bukti. ","")&amp;IF(AND(H95="tidak",R95&lt;&gt;""),"PERIKSA: tanpa teks lengkap, kosongkan kolom evaluasi. ",""))</f>
        <v/>
      </c>
      <c r="AC95" s="14" t="inlineStr">
        <is>
          <t>exclude</t>
        </is>
      </c>
      <c r="AD95" s="14" t="inlineStr">
        <is>
          <t>EC2</t>
        </is>
      </c>
      <c r="AE95" s="14" t="inlineStr">
        <is>
          <t>audit lanjutan; diterima koordinator</t>
        </is>
      </c>
    </row>
    <row r="96" ht="23.25" customHeight="1" s="21">
      <c r="A96" s="8" t="inlineStr">
        <is>
          <t>sonu-2025-mcp-guardian-security-first-layer</t>
        </is>
      </c>
      <c r="B96" s="8" t="inlineStr">
        <is>
          <t>MCP Guardian: A Security-First Layer for Safeguarding MCP-Based AI System</t>
        </is>
      </c>
      <c r="C96" s="8" t="n">
        <v>2025</v>
      </c>
      <c r="D96" s="8" t="inlineStr">
        <is>
          <t>E2</t>
        </is>
      </c>
      <c r="E96" s="8" t="inlineStr">
        <is>
          <t>kandidat_cek_recall</t>
        </is>
      </c>
      <c r="F96" s="8" t="inlineStr">
        <is>
          <t>none</t>
        </is>
      </c>
      <c r="G96" s="9" t="inlineStr">
        <is>
          <t>https://arxiv.org/abs/2504.12757</t>
        </is>
      </c>
      <c r="H96" s="10" t="inlineStr">
        <is>
          <t>ya</t>
        </is>
      </c>
      <c r="I96" s="10" t="inlineStr">
        <is>
          <t>defense_primary</t>
        </is>
      </c>
      <c r="J96" s="10" t="inlineStr">
        <is>
          <t>MCP Guardian</t>
        </is>
      </c>
      <c r="K96" s="10" t="inlineStr">
        <is>
          <t>deterministic_policy</t>
        </is>
      </c>
      <c r="L96" s="10" t="inlineStr">
        <is>
          <t>Lapisan middleware perantara klien dan server MCP yang menerapkan autentikasi, pembatasan laju (rate limiting), logging audit, dan pemindaian WAF terhadap payload berbahaya.</t>
        </is>
      </c>
      <c r="M96" s="10" t="inlineStr">
        <is>
          <t>tidak</t>
        </is>
      </c>
      <c r="N96" s="10" t="inlineStr">
        <is>
          <t>gateway_proxy</t>
        </is>
      </c>
      <c r="O96" s="10" t="inlineStr">
        <is>
          <t>R1;R2;R4</t>
        </is>
      </c>
      <c r="P96" s="10" t="inlineStr">
        <is>
          <t>A2;C3;C5;OUT_OF_TAXONOMY:resource_abuse</t>
        </is>
      </c>
      <c r="Q96" s="10" t="inlineStr">
        <is>
          <t>A2;C3;C5;OUT_OF_TAXONOMY:resource_abuse</t>
        </is>
      </c>
      <c r="R96" s="10" t="inlineStr">
        <is>
          <t>author_run</t>
        </is>
      </c>
      <c r="S96" s="10" t="n"/>
      <c r="T96" s="10" t="inlineStr">
        <is>
          <t>authors_own</t>
        </is>
      </c>
      <c r="U96" s="10" t="inlineStr">
        <is>
          <t>tidak</t>
        </is>
      </c>
      <c r="V96" s="10" t="n"/>
      <c r="W96" s="10" t="inlineStr">
        <is>
          <t>Sec. 5, Table 1, hal. 7-9</t>
        </is>
      </c>
      <c r="X96" s="10" t="inlineStr">
        <is>
          <t>none</t>
        </is>
      </c>
      <c r="Y96" s="10" t="inlineStr">
        <is>
          <t>dilaporkan: latensi baseline vs dengan Guardian (Sec. 5)</t>
        </is>
      </c>
      <c r="Z96" s="10" t="inlineStr">
        <is>
          <t>MCP Guardian (defense_primary, L1). Middleware proksi dengan autentikasi (C3), WAF pemfilteran prompt &amp; command injection (A2;C5), serta rate-limiting terhadap high-frequency abuse (OUT_OF_TAXONOMY:resource_abuse, Sec. 4.1.1). Catatan deployment: prototipe internal/eksperimental (belum dirilis secara publik).</t>
        </is>
      </c>
      <c r="AA96" s="11">
        <f>IF(I96="","",IF(OR(I96="attack",I96="survey_review",I96="benchmark_measurement",I96="position_other",I96="not_defense"),"n/a",IF(OR(X96="spec_normatif",X96="produksi_bukti_publik"),"L3",IF(ISNUMBER(SEARCH("independent",R96)),"L2",IF(R96="author_run","L1",IF(R96="none","L0",""))))))</f>
        <v/>
      </c>
      <c r="AB96" s="11">
        <f>IF(I96="","",IF(AND(K96="deterministic_policy",M96="ya"),"PERIKSA: deterministic_policy tetapi LLM/ML ada dalam keputusan. ","")&amp;IF(AND(U96="ya",V96=""),"PERIKSA: adaptif=ya wajib ada kutipan. ","")&amp;IF(AND(R96="none",U96&lt;&gt;"n/a_tanpa_evaluasi",U96&lt;&gt;""),"PERIKSA: tanpa evaluasi, adaptif harus n/a. ","")&amp;IF(AND(OR(R96="author_run",R96="author_run+independent",R96="independent_only"),Q96=""),"PERIKSA: isi kelas_dievaluasi. ","")&amp;IF(AND(OR(R96="author_run",R96="author_run+independent",R96="independent_only"),W96=""),"PERIKSA: isi lokasi_bukti. ","")&amp;IF(AND(H96="tidak",R96&lt;&gt;""),"PERIKSA: tanpa teks lengkap, kosongkan kolom evaluasi. ",""))</f>
        <v/>
      </c>
      <c r="AC96" t="inlineStr">
        <is>
          <t>include</t>
        </is>
      </c>
    </row>
    <row r="97" ht="23.25" customHeight="1" s="21">
      <c r="A97" s="12" t="inlineStr">
        <is>
          <t>suliu-2026-airguard-guarding-agent-actions-runtime</t>
        </is>
      </c>
      <c r="B97" s="12" t="inlineStr">
        <is>
          <t>AIRGuard: Guarding Agent Actions with Runtime Authority Control</t>
        </is>
      </c>
      <c r="C97" s="12" t="n">
        <v>2026</v>
      </c>
      <c r="D97" s="12" t="inlineStr">
        <is>
          <t>E2</t>
        </is>
      </c>
      <c r="E97" s="12" t="inlineStr">
        <is>
          <t>kandidat_cek_recall</t>
        </is>
      </c>
      <c r="F97" s="12" t="inlineStr">
        <is>
          <t>none</t>
        </is>
      </c>
      <c r="G97" s="13" t="inlineStr">
        <is>
          <t>https://arxiv.org/abs/2605.28914</t>
        </is>
      </c>
      <c r="H97" s="12" t="inlineStr">
        <is>
          <t>tidak</t>
        </is>
      </c>
      <c r="I97" s="12" t="inlineStr">
        <is>
          <t>not_defense</t>
        </is>
      </c>
      <c r="J97" s="12" t="n"/>
      <c r="K97" s="12" t="n"/>
      <c r="L97" s="12" t="n"/>
      <c r="M97" s="12" t="n"/>
      <c r="N97" s="12" t="n"/>
      <c r="O97" s="12" t="n"/>
      <c r="P97" s="12" t="n"/>
      <c r="Q97" s="12" t="n"/>
      <c r="R97" s="12" t="n"/>
      <c r="S97" s="12" t="n"/>
      <c r="T97" s="12" t="n"/>
      <c r="U97" s="12" t="n"/>
      <c r="V97" s="12" t="n"/>
      <c r="W97" s="12" t="n"/>
      <c r="X97" s="12" t="n"/>
      <c r="Y97" s="12" t="n"/>
      <c r="Z97" s="12" t="inlineStr">
        <is>
          <t>[AUDIT_v5_EXCLUDE: EC2] Dikeluarkan dari korpus MCP-spesifik oleh audit reviewer kedua v5 (peran sebelumnya defense_primary didemotasi karena di luar korpus MCP). (audit lanjutan; diterima koordinator) | Catatan lama: Agent Recall: KANDIDAT_AKTIF - Terbukti mengevaluasi mitigasi: Mengembangkan dan mengevaluasi AIRGuard (runtime guard kontrol otoritas aksi untuk memitigasi authority confusion pada pemanggilan tool MCP; dievaluasi pada AgentTrap menurunkan attack success rate Sonnet 4.6 dari 36.3% ke 5.5% dan menjaga utilitas 76.0% pada DTAP-150).</t>
        </is>
      </c>
      <c r="AA97" s="12">
        <f>IF(I97="","",IF(OR(I97="attack",I97="survey_review",I97="benchmark_measurement",I97="position_other",I97="not_defense"),"n/a",IF(OR(X97="spec_normatif",X97="produksi_bukti_publik"),"L3",IF(ISNUMBER(SEARCH("independent",R97)),"L2",IF(R97="author_run","L1",IF(R97="none","L0",""))))))</f>
        <v/>
      </c>
      <c r="AB97" s="12">
        <f>IF(I97="","",IF(AND(K97="deterministic_policy",M97="ya"),"PERIKSA: deterministic_policy tetapi LLM/ML ada dalam keputusan. ","")&amp;IF(AND(U97="ya",V97=""),"PERIKSA: adaptif=ya wajib ada kutipan. ","")&amp;IF(AND(R97="none",U97&lt;&gt;"n/a_tanpa_evaluasi",U97&lt;&gt;""),"PERIKSA: tanpa evaluasi, adaptif harus n/a. ","")&amp;IF(AND(OR(R97="author_run",R97="author_run+independent",R97="independent_only"),Q97=""),"PERIKSA: isi kelas_dievaluasi. ","")&amp;IF(AND(OR(R97="author_run",R97="author_run+independent",R97="independent_only"),W97=""),"PERIKSA: isi lokasi_bukti. ","")&amp;IF(AND(H97="tidak",R97&lt;&gt;""),"PERIKSA: tanpa teks lengkap, kosongkan kolom evaluasi. ",""))</f>
        <v/>
      </c>
      <c r="AC97" s="14" t="inlineStr">
        <is>
          <t>exclude</t>
        </is>
      </c>
      <c r="AD97" s="14" t="inlineStr">
        <is>
          <t>EC2</t>
        </is>
      </c>
      <c r="AE97" s="14" t="inlineStr">
        <is>
          <t>audit lanjutan; diterima koordinator</t>
        </is>
      </c>
    </row>
    <row r="98" ht="34.5" customHeight="1" s="21">
      <c r="A98" s="8" t="inlineStr">
        <is>
          <t>yutao-2026-description-code-inconsistency-real-world</t>
        </is>
      </c>
      <c r="B98" s="8" t="inlineStr">
        <is>
          <t>Description-Code Inconsistency in Real-world MCP Servers: Measurement, Detection, and Security Implications</t>
        </is>
      </c>
      <c r="C98" s="8" t="n">
        <v>2026</v>
      </c>
      <c r="D98" s="8" t="inlineStr">
        <is>
          <t>E2</t>
        </is>
      </c>
      <c r="E98" s="8" t="inlineStr">
        <is>
          <t>kandidat_cek_recall</t>
        </is>
      </c>
      <c r="F98" s="8" t="inlineStr">
        <is>
          <t>none</t>
        </is>
      </c>
      <c r="G98" s="9" t="inlineStr">
        <is>
          <t>https://arxiv.org/abs/2606.04769</t>
        </is>
      </c>
      <c r="H98" s="10" t="inlineStr">
        <is>
          <t>ya</t>
        </is>
      </c>
      <c r="I98" s="10" t="inlineStr">
        <is>
          <t>benchmark_measurement</t>
        </is>
      </c>
      <c r="J98" s="10" t="n"/>
      <c r="K98" s="10" t="n"/>
      <c r="L98" s="10" t="n"/>
      <c r="M98" s="10" t="n"/>
      <c r="N98" s="10" t="n"/>
      <c r="O98" s="10" t="n"/>
      <c r="P98" s="10" t="n"/>
      <c r="Q98" s="10" t="n"/>
      <c r="R98" s="10" t="n"/>
      <c r="S98" s="10" t="n"/>
      <c r="T98" s="10" t="n"/>
      <c r="U98" s="10" t="n"/>
      <c r="V98" s="10" t="n"/>
      <c r="W98" s="10" t="n"/>
      <c r="X98" s="10" t="n"/>
      <c r="Y98" s="10" t="n"/>
      <c r="Z98" s="10" t="inlineStr">
        <is>
          <t>Agent Recall: BUKAN_PERTAHANAN - Studi pengukuran empiris terhadap Description-Code Inconsistency (DCI) pada 19.200 pasangan deskripsi-kode dari 2.214 server MCP menggunakan DCIChecker; mengkaji prevalensi celah keamanan dan menyarankan mitigasi pada diskusi.</t>
        </is>
      </c>
      <c r="AA98" s="11">
        <f>IF(I98="","",IF(OR(I98="attack",I98="survey_review",I98="benchmark_measurement",I98="position_other",I98="not_defense"),"n/a",IF(OR(X98="spec_normatif",X98="produksi_bukti_publik"),"L3",IF(ISNUMBER(SEARCH("independent",R98)),"L2",IF(R98="author_run","L1",IF(R98="none","L0",""))))))</f>
        <v/>
      </c>
      <c r="AB98" s="11">
        <f>IF(I98="","",IF(AND(K98="deterministic_policy",M98="ya"),"PERIKSA: deterministic_policy tetapi LLM/ML ada dalam keputusan. ","")&amp;IF(AND(U98="ya",V98=""),"PERIKSA: adaptif=ya wajib ada kutipan. ","")&amp;IF(AND(R98="none",U98&lt;&gt;"n/a_tanpa_evaluasi",U98&lt;&gt;""),"PERIKSA: tanpa evaluasi, adaptif harus n/a. ","")&amp;IF(AND(OR(R98="author_run",R98="author_run+independent",R98="independent_only"),Q98=""),"PERIKSA: isi kelas_dievaluasi. ","")&amp;IF(AND(OR(R98="author_run",R98="author_run+independent",R98="independent_only"),W98=""),"PERIKSA: isi lokasi_bukti. ","")&amp;IF(AND(H98="tidak",R98&lt;&gt;""),"PERIKSA: tanpa teks lengkap, kosongkan kolom evaluasi. ",""))</f>
        <v/>
      </c>
      <c r="AC98" t="inlineStr">
        <is>
          <t>include</t>
        </is>
      </c>
    </row>
    <row r="99" ht="23.25" customHeight="1" s="21">
      <c r="A99" s="12" t="inlineStr">
        <is>
          <t>abhinav-2025-throttling-web-agents-using-reasoning</t>
        </is>
      </c>
      <c r="B99" s="12" t="inlineStr">
        <is>
          <t>Throttling Web Agents Using Reasoning Gates</t>
        </is>
      </c>
      <c r="C99" s="12" t="n">
        <v>2025</v>
      </c>
      <c r="D99" s="12" t="inlineStr">
        <is>
          <t>E2</t>
        </is>
      </c>
      <c r="E99" s="12" t="inlineStr">
        <is>
          <t>scan_cepat</t>
        </is>
      </c>
      <c r="F99" s="12" t="inlineStr">
        <is>
          <t>none</t>
        </is>
      </c>
      <c r="G99" s="13" t="inlineStr">
        <is>
          <t>https://arxiv.org/abs/2509.01619</t>
        </is>
      </c>
      <c r="H99" s="12" t="n"/>
      <c r="I99" s="12" t="inlineStr">
        <is>
          <t>not_defense</t>
        </is>
      </c>
      <c r="J99" s="12" t="n"/>
      <c r="K99" s="12" t="n"/>
      <c r="L99" s="12" t="n"/>
      <c r="M99" s="12" t="n"/>
      <c r="N99" s="12" t="n"/>
      <c r="O99" s="12" t="n"/>
      <c r="P99" s="12" t="n"/>
      <c r="Q99" s="12" t="n"/>
      <c r="R99" s="12" t="n"/>
      <c r="S99" s="12" t="n"/>
      <c r="T99" s="12" t="n"/>
      <c r="U99" s="12" t="n"/>
      <c r="V99" s="12" t="n"/>
      <c r="W99" s="12" t="n"/>
      <c r="X99" s="12" t="n"/>
      <c r="Y99" s="12" t="n"/>
      <c r="Z99" s="12" t="inlineStr">
        <is>
          <t>[AUDIT_v5_EXCLUDE: EC2] Dikeluarkan dari korpus MCP-spesifik oleh audit reviewer kedua v5. (dikeluarkan setelah audit reviewer kedua + rekonsiliasi) | Catatan lama: Throttling berbasis puzzle komputasi untuk melindungi server web dari scraping bot/agent, di luar fokus keamanan internal MCP.</t>
        </is>
      </c>
      <c r="AA99" s="12">
        <f>IF(I99="","",IF(OR(I99="attack",I99="survey_review",I99="benchmark_measurement",I99="position_other",I99="not_defense"),"n/a",IF(OR(X99="spec_normatif",X99="produksi_bukti_publik"),"L3",IF(ISNUMBER(SEARCH("independent",R99)),"L2",IF(R99="author_run","L1",IF(R99="none","L0",""))))))</f>
        <v/>
      </c>
      <c r="AB99" s="12">
        <f>IF(I99="","",IF(AND(K99="deterministic_policy",M99="ya"),"PERIKSA: deterministic_policy tetapi LLM/ML ada dalam keputusan. ","")&amp;IF(AND(U99="ya",V99=""),"PERIKSA: adaptif=ya wajib ada kutipan. ","")&amp;IF(AND(R99="none",U99&lt;&gt;"n/a_tanpa_evaluasi",U99&lt;&gt;""),"PERIKSA: tanpa evaluasi, adaptif harus n/a. ","")&amp;IF(AND(OR(R99="author_run",R99="author_run+independent",R99="independent_only"),Q99=""),"PERIKSA: isi kelas_dievaluasi. ","")&amp;IF(AND(OR(R99="author_run",R99="author_run+independent",R99="independent_only"),W99=""),"PERIKSA: isi lokasi_bukti. ","")&amp;IF(AND(H99="tidak",R99&lt;&gt;""),"PERIKSA: tanpa teks lengkap, kosongkan kolom evaluasi. ",""))</f>
        <v/>
      </c>
      <c r="AC99" s="14" t="inlineStr">
        <is>
          <t>exclude</t>
        </is>
      </c>
      <c r="AD99" s="14" t="inlineStr">
        <is>
          <t>EC2</t>
        </is>
      </c>
      <c r="AE99" s="14" t="inlineStr">
        <is>
          <t>dikeluarkan setelah audit reviewer kedua + rekonsiliasi</t>
        </is>
      </c>
    </row>
    <row r="100" ht="34.5" customHeight="1" s="21">
      <c r="A100" s="12" t="inlineStr">
        <is>
          <t>aditi-2025-survey-model-context-protocol-mcp</t>
        </is>
      </c>
      <c r="B100" s="12" t="inlineStr">
        <is>
          <t>A Survey of the Model Context Protocol (MCP): Standardizing Context to Enhance Large Language Models (LLMs)</t>
        </is>
      </c>
      <c r="C100" s="12" t="n">
        <v>2025</v>
      </c>
      <c r="D100" s="12" t="inlineStr">
        <is>
          <t>E2</t>
        </is>
      </c>
      <c r="E100" s="12" t="inlineStr">
        <is>
          <t>scan_cepat</t>
        </is>
      </c>
      <c r="F100" s="12" t="inlineStr">
        <is>
          <t>none</t>
        </is>
      </c>
      <c r="G100" s="13" t="inlineStr">
        <is>
          <t>https://doi.org/10.20944/preprints202504.0245.v1</t>
        </is>
      </c>
      <c r="H100" s="12" t="n"/>
      <c r="I100" s="12" t="inlineStr">
        <is>
          <t>survey_review</t>
        </is>
      </c>
      <c r="J100" s="12" t="n"/>
      <c r="K100" s="12" t="n"/>
      <c r="L100" s="12" t="n"/>
      <c r="M100" s="12" t="n"/>
      <c r="N100" s="12" t="n"/>
      <c r="O100" s="12" t="n"/>
      <c r="P100" s="12" t="n"/>
      <c r="Q100" s="12" t="n"/>
      <c r="R100" s="12" t="n"/>
      <c r="S100" s="12" t="n"/>
      <c r="T100" s="12" t="n"/>
      <c r="U100" s="12" t="n"/>
      <c r="V100" s="12" t="n"/>
      <c r="W100" s="12" t="n"/>
      <c r="X100" s="12" t="n"/>
      <c r="Y100" s="12" t="n"/>
      <c r="Z100" s="12" t="inlineStr">
        <is>
          <t>[AUDIT_v5_EXCLUDE: EC1] Dikeluarkan dari korpus MCP-spesifik oleh audit reviewer kedua v5. (audit lanjutan; diterima koordinator) | Catatan lama: Tinjauan survei arsitektur dasar, protokol, dan mekanisme keamanan MCP tanpa mitigasi baru.</t>
        </is>
      </c>
      <c r="AA100" s="12">
        <f>IF(I100="","",IF(OR(I100="attack",I100="survey_review",I100="benchmark_measurement",I100="position_other",I100="not_defense"),"n/a",IF(OR(X100="spec_normatif",X100="produksi_bukti_publik"),"L3",IF(ISNUMBER(SEARCH("independent",R100)),"L2",IF(R100="author_run","L1",IF(R100="none","L0",""))))))</f>
        <v/>
      </c>
      <c r="AB100" s="12">
        <f>IF(I100="","",IF(AND(K100="deterministic_policy",M100="ya"),"PERIKSA: deterministic_policy tetapi LLM/ML ada dalam keputusan. ","")&amp;IF(AND(U100="ya",V100=""),"PERIKSA: adaptif=ya wajib ada kutipan. ","")&amp;IF(AND(R100="none",U100&lt;&gt;"n/a_tanpa_evaluasi",U100&lt;&gt;""),"PERIKSA: tanpa evaluasi, adaptif harus n/a. ","")&amp;IF(AND(OR(R100="author_run",R100="author_run+independent",R100="independent_only"),Q100=""),"PERIKSA: isi kelas_dievaluasi. ","")&amp;IF(AND(OR(R100="author_run",R100="author_run+independent",R100="independent_only"),W100=""),"PERIKSA: isi lokasi_bukti. ","")&amp;IF(AND(H100="tidak",R100&lt;&gt;""),"PERIKSA: tanpa teks lengkap, kosongkan kolom evaluasi. ",""))</f>
        <v/>
      </c>
      <c r="AC100" s="14" t="inlineStr">
        <is>
          <t>exclude</t>
        </is>
      </c>
      <c r="AD100" s="14" t="inlineStr">
        <is>
          <t>EC1</t>
        </is>
      </c>
      <c r="AE100" s="14" t="inlineStr">
        <is>
          <t>audit lanjutan; diterima koordinator</t>
        </is>
      </c>
    </row>
    <row r="101" ht="23.25" customHeight="1" s="21">
      <c r="A101" s="12" t="inlineStr">
        <is>
          <t>anes-2026-lang-governance-aware-agentic-ai</t>
        </is>
      </c>
      <c r="B101" s="12" t="inlineStr">
        <is>
          <t>LanG -- A Governance-Aware Agentic AI Platform for Unified Security Operations</t>
        </is>
      </c>
      <c r="C101" s="12" t="n">
        <v>2026</v>
      </c>
      <c r="D101" s="12" t="inlineStr">
        <is>
          <t>E2</t>
        </is>
      </c>
      <c r="E101" s="12" t="inlineStr">
        <is>
          <t>scan_cepat</t>
        </is>
      </c>
      <c r="F101" s="12" t="inlineStr">
        <is>
          <t>none</t>
        </is>
      </c>
      <c r="G101" s="13" t="inlineStr">
        <is>
          <t>https://arxiv.org/abs/2604.05440</t>
        </is>
      </c>
      <c r="H101" s="12" t="n"/>
      <c r="I101" s="12" t="inlineStr">
        <is>
          <t>not_defense</t>
        </is>
      </c>
      <c r="J101" s="12" t="n"/>
      <c r="K101" s="12" t="n"/>
      <c r="L101" s="12" t="n"/>
      <c r="M101" s="12" t="n"/>
      <c r="N101" s="12" t="n"/>
      <c r="O101" s="12" t="n"/>
      <c r="P101" s="12" t="n"/>
      <c r="Q101" s="12" t="n"/>
      <c r="R101" s="12" t="n"/>
      <c r="S101" s="12" t="n"/>
      <c r="T101" s="12" t="n"/>
      <c r="U101" s="12" t="n"/>
      <c r="V101" s="12" t="n"/>
      <c r="W101" s="12" t="n"/>
      <c r="X101" s="12" t="n"/>
      <c r="Y101" s="12" t="n"/>
      <c r="Z101" s="12" t="inlineStr">
        <is>
          <t>[AUDIT_v5_EXCLUDE: EC1] Dikeluarkan dari korpus MCP-spesifik oleh audit reviewer kedua v5. (dikeluarkan; kode EC1 dari koordinator, EC2 lebih sesuai tabel v3 (disarankan)) | Catatan lama: Platform aplikasi SOC domain spesifik dengan MCP sebagai protokol integrasi alat; guardrail merupakan kontrol integritas internal aplikasi -&gt; not_defense.</t>
        </is>
      </c>
      <c r="AA101" s="12">
        <f>IF(I101="","",IF(OR(I101="attack",I101="survey_review",I101="benchmark_measurement",I101="position_other",I101="not_defense"),"n/a",IF(OR(X101="spec_normatif",X101="produksi_bukti_publik"),"L3",IF(ISNUMBER(SEARCH("independent",R101)),"L2",IF(R101="author_run","L1",IF(R101="none","L0",""))))))</f>
        <v/>
      </c>
      <c r="AB101" s="12">
        <f>IF(I101="","",IF(AND(K101="deterministic_policy",M101="ya"),"PERIKSA: deterministic_policy tetapi LLM/ML ada dalam keputusan. ","")&amp;IF(AND(U101="ya",V101=""),"PERIKSA: adaptif=ya wajib ada kutipan. ","")&amp;IF(AND(R101="none",U101&lt;&gt;"n/a_tanpa_evaluasi",U101&lt;&gt;""),"PERIKSA: tanpa evaluasi, adaptif harus n/a. ","")&amp;IF(AND(OR(R101="author_run",R101="author_run+independent",R101="independent_only"),Q101=""),"PERIKSA: isi kelas_dievaluasi. ","")&amp;IF(AND(OR(R101="author_run",R101="author_run+independent",R101="independent_only"),W101=""),"PERIKSA: isi lokasi_bukti. ","")&amp;IF(AND(H101="tidak",R101&lt;&gt;""),"PERIKSA: tanpa teks lengkap, kosongkan kolom evaluasi. ",""))</f>
        <v/>
      </c>
      <c r="AC101" s="14" t="inlineStr">
        <is>
          <t>exclude</t>
        </is>
      </c>
      <c r="AD101" s="14" t="inlineStr">
        <is>
          <t>EC1</t>
        </is>
      </c>
      <c r="AE101" s="14" t="inlineStr">
        <is>
          <t>dikeluarkan; kode EC1 dari koordinator, EC2 lebih sesuai tabel v3 (disarankan)</t>
        </is>
      </c>
    </row>
    <row r="102" ht="23.25" customHeight="1" s="21">
      <c r="A102" s="8" t="inlineStr">
        <is>
          <t>charoes-2026-ai-assisted-development-tools-immune</t>
        </is>
      </c>
      <c r="B102" s="8" t="inlineStr">
        <is>
          <t>Are AI-assisted Development Tools Immune to Prompt Injection?</t>
        </is>
      </c>
      <c r="C102" s="8" t="n">
        <v>2026</v>
      </c>
      <c r="D102" s="8" t="inlineStr">
        <is>
          <t>E2</t>
        </is>
      </c>
      <c r="E102" s="8" t="inlineStr">
        <is>
          <t>scan_cepat</t>
        </is>
      </c>
      <c r="F102" s="8" t="inlineStr">
        <is>
          <t>none</t>
        </is>
      </c>
      <c r="G102" s="9" t="inlineStr">
        <is>
          <t>https://arxiv.org/abs/2603.21642</t>
        </is>
      </c>
      <c r="H102" s="10" t="n"/>
      <c r="I102" s="10" t="inlineStr">
        <is>
          <t>attack</t>
        </is>
      </c>
      <c r="J102" s="10" t="n"/>
      <c r="K102" s="10" t="n"/>
      <c r="L102" s="10" t="n"/>
      <c r="M102" s="10" t="n"/>
      <c r="N102" s="10" t="n"/>
      <c r="O102" s="10" t="n"/>
      <c r="P102" s="10" t="n"/>
      <c r="Q102" s="10" t="n"/>
      <c r="R102" s="10" t="n"/>
      <c r="S102" s="10" t="n"/>
      <c r="T102" s="10" t="n"/>
      <c r="U102" s="10" t="n"/>
      <c r="V102" s="10" t="n"/>
      <c r="W102" s="10" t="n"/>
      <c r="X102" s="10" t="n"/>
      <c r="Y102" s="10" t="n"/>
      <c r="Z102" s="10" t="inlineStr">
        <is>
          <t>Studi empiris serangan prompt injection dan tool-poisoning pada 7 klien MCP tanpa mengimplementasikan mitigasi baru.</t>
        </is>
      </c>
      <c r="AA102" s="11">
        <f>IF(I102="","",IF(OR(I102="attack",I102="survey_review",I102="benchmark_measurement",I102="position_other",I102="not_defense"),"n/a",IF(OR(X102="spec_normatif",X102="produksi_bukti_publik"),"L3",IF(ISNUMBER(SEARCH("independent",R102)),"L2",IF(R102="author_run","L1",IF(R102="none","L0",""))))))</f>
        <v/>
      </c>
      <c r="AB102" s="11">
        <f>IF(I102="","",IF(AND(K102="deterministic_policy",M102="ya"),"PERIKSA: deterministic_policy tetapi LLM/ML ada dalam keputusan. ","")&amp;IF(AND(U102="ya",V102=""),"PERIKSA: adaptif=ya wajib ada kutipan. ","")&amp;IF(AND(R102="none",U102&lt;&gt;"n/a_tanpa_evaluasi",U102&lt;&gt;""),"PERIKSA: tanpa evaluasi, adaptif harus n/a. ","")&amp;IF(AND(OR(R102="author_run",R102="author_run+independent",R102="independent_only"),Q102=""),"PERIKSA: isi kelas_dievaluasi. ","")&amp;IF(AND(OR(R102="author_run",R102="author_run+independent",R102="independent_only"),W102=""),"PERIKSA: isi lokasi_bukti. ","")&amp;IF(AND(H102="tidak",R102&lt;&gt;""),"PERIKSA: tanpa teks lengkap, kosongkan kolom evaluasi. ",""))</f>
        <v/>
      </c>
      <c r="AC102" t="inlineStr">
        <is>
          <t>include</t>
        </is>
      </c>
    </row>
    <row r="103" ht="23.25" customHeight="1" s="21">
      <c r="A103" s="8" t="inlineStr">
        <is>
          <t>charoes-2026-auditing-mcp-servers-privileged-tool</t>
        </is>
      </c>
      <c r="B103" s="8" t="inlineStr">
        <is>
          <t>Auditing MCP Servers for Over-Privileged Tool Capabilities</t>
        </is>
      </c>
      <c r="C103" s="8" t="n">
        <v>2026</v>
      </c>
      <c r="D103" s="8" t="inlineStr">
        <is>
          <t>E2</t>
        </is>
      </c>
      <c r="E103" s="8" t="inlineStr">
        <is>
          <t>scan_cepat</t>
        </is>
      </c>
      <c r="F103" s="8" t="inlineStr">
        <is>
          <t>none</t>
        </is>
      </c>
      <c r="G103" s="9" t="inlineStr">
        <is>
          <t>https://arxiv.org/abs/2603.21641</t>
        </is>
      </c>
      <c r="H103" s="10" t="inlineStr">
        <is>
          <t>ya</t>
        </is>
      </c>
      <c r="I103" s="10" t="inlineStr">
        <is>
          <t>defense_primary</t>
        </is>
      </c>
      <c r="J103" s="10" t="inlineStr">
        <is>
          <t>mcp-sec-audit</t>
        </is>
      </c>
      <c r="K103" s="10" t="inlineStr">
        <is>
          <t>content_inspection_static</t>
        </is>
      </c>
      <c r="L103" s="10" t="inlineStr">
        <is>
          <t>Perkakas audit keamanan mcp-sec-audit untuk mendeteksi kapabilitas berlebih (over-privileged) dan kerentanan eksekusi perintah serta file I/O pada server MCP.</t>
        </is>
      </c>
      <c r="M103" s="10" t="inlineStr">
        <is>
          <t>tidak</t>
        </is>
      </c>
      <c r="N103" s="10" t="inlineStr">
        <is>
          <t>offline_analysis</t>
        </is>
      </c>
      <c r="O103" s="10" t="inlineStr">
        <is>
          <t>R5</t>
        </is>
      </c>
      <c r="P103" s="10" t="inlineStr">
        <is>
          <t>C5</t>
        </is>
      </c>
      <c r="Q103" s="10" t="inlineStr">
        <is>
          <t>C5</t>
        </is>
      </c>
      <c r="R103" s="10" t="inlineStr">
        <is>
          <t>author_run</t>
        </is>
      </c>
      <c r="S103" s="10" t="n"/>
      <c r="T103" s="10" t="inlineStr">
        <is>
          <t>mixed</t>
        </is>
      </c>
      <c r="U103" s="10" t="inlineStr">
        <is>
          <t>tidak</t>
        </is>
      </c>
      <c r="V103" s="10" t="n"/>
      <c r="W103" s="10" t="inlineStr">
        <is>
          <t>Sec. 4, Table 1-2, hal. 4-6</t>
        </is>
      </c>
      <c r="X103" s="10" t="inlineStr">
        <is>
          <t>prototype_open_source</t>
        </is>
      </c>
      <c r="Y103" s="10" t="inlineStr">
        <is>
          <t>not_reported</t>
        </is>
      </c>
      <c r="Z103" s="10" t="inlineStr">
        <is>
          <t>Toolkit mcp-sec-audit untuk menguji kapabilitas berlebih pada server MCP. Repositori/artefak: https://github.com/nyit-vancouver/mcp-sec-audit.</t>
        </is>
      </c>
      <c r="AA103" s="11">
        <f>IF(I103="","",IF(OR(I103="attack",I103="survey_review",I103="benchmark_measurement",I103="position_other",I103="not_defense"),"n/a",IF(OR(X103="spec_normatif",X103="produksi_bukti_publik"),"L3",IF(ISNUMBER(SEARCH("independent",R103)),"L2",IF(R103="author_run","L1",IF(R103="none","L0",""))))))</f>
        <v/>
      </c>
      <c r="AB103" s="11">
        <f>IF(I103="","",IF(AND(K103="deterministic_policy",M103="ya"),"PERIKSA: deterministic_policy tetapi LLM/ML ada dalam keputusan. ","")&amp;IF(AND(U103="ya",V103=""),"PERIKSA: adaptif=ya wajib ada kutipan. ","")&amp;IF(AND(R103="none",U103&lt;&gt;"n/a_tanpa_evaluasi",U103&lt;&gt;""),"PERIKSA: tanpa evaluasi, adaptif harus n/a. ","")&amp;IF(AND(OR(R103="author_run",R103="author_run+independent",R103="independent_only"),Q103=""),"PERIKSA: isi kelas_dievaluasi. ","")&amp;IF(AND(OR(R103="author_run",R103="author_run+independent",R103="independent_only"),W103=""),"PERIKSA: isi lokasi_bukti. ","")&amp;IF(AND(H103="tidak",R103&lt;&gt;""),"PERIKSA: tanpa teks lengkap, kosongkan kolom evaluasi. ",""))</f>
        <v/>
      </c>
      <c r="AC103" t="inlineStr">
        <is>
          <t>include</t>
        </is>
      </c>
    </row>
    <row r="104" ht="23.25" customHeight="1" s="21">
      <c r="A104" s="12" t="inlineStr">
        <is>
          <t>che-2026-adaptools-adaptive-tool-based-indirect</t>
        </is>
      </c>
      <c r="B104" s="12" t="inlineStr">
        <is>
          <t>AdapTools: Adaptive Tool-based Indirect Prompt Injection Attacks on Agentic LLMs</t>
        </is>
      </c>
      <c r="C104" s="12" t="n">
        <v>2026</v>
      </c>
      <c r="D104" s="12" t="inlineStr">
        <is>
          <t>E2</t>
        </is>
      </c>
      <c r="E104" s="12" t="inlineStr">
        <is>
          <t>scan_cepat</t>
        </is>
      </c>
      <c r="F104" s="12" t="inlineStr">
        <is>
          <t>none</t>
        </is>
      </c>
      <c r="G104" s="13" t="inlineStr">
        <is>
          <t>https://arxiv.org/abs/2602.20720</t>
        </is>
      </c>
      <c r="H104" s="12" t="n"/>
      <c r="I104" s="12" t="inlineStr">
        <is>
          <t>attack</t>
        </is>
      </c>
      <c r="J104" s="12" t="n"/>
      <c r="K104" s="12" t="n"/>
      <c r="L104" s="12" t="n"/>
      <c r="M104" s="12" t="n"/>
      <c r="N104" s="12" t="n"/>
      <c r="O104" s="12" t="n"/>
      <c r="P104" s="12" t="n"/>
      <c r="Q104" s="12" t="n"/>
      <c r="R104" s="12" t="n"/>
      <c r="S104" s="12" t="n"/>
      <c r="T104" s="12" t="n"/>
      <c r="U104" s="12" t="n"/>
      <c r="V104" s="12" t="n"/>
      <c r="W104" s="12" t="n"/>
      <c r="X104" s="12" t="n"/>
      <c r="Y104" s="12" t="n"/>
      <c r="Z104" s="12" t="inlineStr">
        <is>
          <t>[AUDIT_v5_EXCLUDE: EC2] Dikeluarkan dari korpus MCP-spesifik oleh audit reviewer kedua v5. (audit lanjutan; diterima koordinator) | Catatan lama: Pengembangan teknik serangan adaptif indirect prompt injection (AdapTools) tanpa mitigasi baru.</t>
        </is>
      </c>
      <c r="AA104" s="12">
        <f>IF(I104="","",IF(OR(I104="attack",I104="survey_review",I104="benchmark_measurement",I104="position_other",I104="not_defense"),"n/a",IF(OR(X104="spec_normatif",X104="produksi_bukti_publik"),"L3",IF(ISNUMBER(SEARCH("independent",R104)),"L2",IF(R104="author_run","L1",IF(R104="none","L0",""))))))</f>
        <v/>
      </c>
      <c r="AB104" s="12">
        <f>IF(I104="","",IF(AND(K104="deterministic_policy",M104="ya"),"PERIKSA: deterministic_policy tetapi LLM/ML ada dalam keputusan. ","")&amp;IF(AND(U104="ya",V104=""),"PERIKSA: adaptif=ya wajib ada kutipan. ","")&amp;IF(AND(R104="none",U104&lt;&gt;"n/a_tanpa_evaluasi",U104&lt;&gt;""),"PERIKSA: tanpa evaluasi, adaptif harus n/a. ","")&amp;IF(AND(OR(R104="author_run",R104="author_run+independent",R104="independent_only"),Q104=""),"PERIKSA: isi kelas_dievaluasi. ","")&amp;IF(AND(OR(R104="author_run",R104="author_run+independent",R104="independent_only"),W104=""),"PERIKSA: isi lokasi_bukti. ","")&amp;IF(AND(H104="tidak",R104&lt;&gt;""),"PERIKSA: tanpa teks lengkap, kosongkan kolom evaluasi. ",""))</f>
        <v/>
      </c>
      <c r="AC104" s="14" t="inlineStr">
        <is>
          <t>exclude</t>
        </is>
      </c>
      <c r="AD104" s="14" t="inlineStr">
        <is>
          <t>EC2</t>
        </is>
      </c>
      <c r="AE104" s="14" t="inlineStr">
        <is>
          <t>audit lanjutan; diterima koordinator</t>
        </is>
      </c>
    </row>
    <row r="105" ht="23.25" customHeight="1" s="21">
      <c r="A105" s="12" t="inlineStr">
        <is>
          <t>david-2025-servant-stalker-predator-how-honest</t>
        </is>
      </c>
      <c r="B105" s="12" t="inlineStr">
        <is>
          <t>Servant, Stalker, Predator: How An Honest, Helpful, And Harmless (3H) Agent Unlocks Adversarial Skills</t>
        </is>
      </c>
      <c r="C105" s="12" t="n">
        <v>2025</v>
      </c>
      <c r="D105" s="12" t="inlineStr">
        <is>
          <t>E2</t>
        </is>
      </c>
      <c r="E105" s="12" t="inlineStr">
        <is>
          <t>scan_cepat</t>
        </is>
      </c>
      <c r="F105" s="12" t="inlineStr">
        <is>
          <t>none</t>
        </is>
      </c>
      <c r="G105" s="13" t="inlineStr">
        <is>
          <t>https://arxiv.org/abs/2508.19500</t>
        </is>
      </c>
      <c r="H105" s="12" t="n"/>
      <c r="I105" s="12" t="inlineStr">
        <is>
          <t>attack</t>
        </is>
      </c>
      <c r="J105" s="12" t="n"/>
      <c r="K105" s="12" t="n"/>
      <c r="L105" s="12" t="n"/>
      <c r="M105" s="12" t="n"/>
      <c r="N105" s="12" t="n"/>
      <c r="O105" s="12" t="n"/>
      <c r="P105" s="12" t="n"/>
      <c r="Q105" s="12" t="n"/>
      <c r="R105" s="12" t="n"/>
      <c r="S105" s="12" t="n"/>
      <c r="T105" s="12" t="n"/>
      <c r="U105" s="12" t="n"/>
      <c r="V105" s="12" t="n"/>
      <c r="W105" s="12" t="n"/>
      <c r="X105" s="12" t="n"/>
      <c r="Y105" s="12" t="n"/>
      <c r="Z105" s="12" t="inlineStr">
        <is>
          <t>[AUDIT_v5_EXCLUDE: EC3] Dikeluarkan dari korpus MCP-spesifik oleh audit reviewer kedua v5. (Hasil yang dilaporkan (12%/77%/80%) adalah tingkat lulus tugas benchmark jinak, bukan keberhasilan serangan; studi kasus berupa narasi fiksi; angka internal tidak konsisten (95 agen vs 95 tugas; 100 vs 95 di Appendix D; 231 vs 271 tugas). Dikembalikan dari include (aturan A1c).) | Catatan lama: Red-teaming dan demonstrasi serangan komposisional multi-layanan pada arsitektur MCP tanpa implementasi mitigasi.</t>
        </is>
      </c>
      <c r="AA105" s="12">
        <f>IF(I105="","",IF(OR(I105="attack",I105="survey_review",I105="benchmark_measurement",I105="position_other",I105="not_defense"),"n/a",IF(OR(X105="spec_normatif",X105="produksi_bukti_publik"),"L3",IF(ISNUMBER(SEARCH("independent",R105)),"L2",IF(R105="author_run","L1",IF(R105="none","L0",""))))))</f>
        <v/>
      </c>
      <c r="AB105" s="12">
        <f>IF(I105="","",IF(AND(K105="deterministic_policy",M105="ya"),"PERIKSA: deterministic_policy tetapi LLM/ML ada dalam keputusan. ","")&amp;IF(AND(U105="ya",V105=""),"PERIKSA: adaptif=ya wajib ada kutipan. ","")&amp;IF(AND(R105="none",U105&lt;&gt;"n/a_tanpa_evaluasi",U105&lt;&gt;""),"PERIKSA: tanpa evaluasi, adaptif harus n/a. ","")&amp;IF(AND(OR(R105="author_run",R105="author_run+independent",R105="independent_only"),Q105=""),"PERIKSA: isi kelas_dievaluasi. ","")&amp;IF(AND(OR(R105="author_run",R105="author_run+independent",R105="independent_only"),W105=""),"PERIKSA: isi lokasi_bukti. ","")&amp;IF(AND(H105="tidak",R105&lt;&gt;""),"PERIKSA: tanpa teks lengkap, kosongkan kolom evaluasi. ",""))</f>
        <v/>
      </c>
      <c r="AC105" s="14" t="inlineStr">
        <is>
          <t>exclude</t>
        </is>
      </c>
      <c r="AD105" s="14" t="inlineStr">
        <is>
          <t>EC3</t>
        </is>
      </c>
      <c r="AE105" s="14" t="inlineStr">
        <is>
          <t>Hasil yang dilaporkan (12%/77%/80%) adalah tingkat lulus tugas benchmark jinak, bukan keberhasilan serangan; studi kasus berupa narasi fiksi; angka internal tidak konsisten (95 agen vs 95 tugas; 100 vs 95 di Appendix D; 231 vs 271 tugas). Dikembalikan dari include (aturan A1c).</t>
        </is>
      </c>
    </row>
    <row r="106" ht="23.25" customHeight="1" s="21">
      <c r="A106" s="8" t="inlineStr">
        <is>
          <t>dongsen-2025-mcp-security-bench-msb-benchmarking</t>
        </is>
      </c>
      <c r="B106" s="8" t="inlineStr">
        <is>
          <t>MCP Security Bench (MSB): Benchmarking Attacks Against Model Context Protocol in LLM Agents</t>
        </is>
      </c>
      <c r="C106" s="8" t="n">
        <v>2025</v>
      </c>
      <c r="D106" s="8" t="inlineStr">
        <is>
          <t>E2</t>
        </is>
      </c>
      <c r="E106" s="8" t="inlineStr">
        <is>
          <t>scan_cepat</t>
        </is>
      </c>
      <c r="F106" s="8" t="inlineStr">
        <is>
          <t>none</t>
        </is>
      </c>
      <c r="G106" s="9" t="inlineStr">
        <is>
          <t>https://arxiv.org/abs/2510.15994</t>
        </is>
      </c>
      <c r="H106" s="10" t="n"/>
      <c r="I106" s="10" t="inlineStr">
        <is>
          <t>benchmark_measurement</t>
        </is>
      </c>
      <c r="J106" s="10" t="n"/>
      <c r="K106" s="10" t="n"/>
      <c r="L106" s="10" t="n"/>
      <c r="M106" s="10" t="n"/>
      <c r="N106" s="10" t="n"/>
      <c r="O106" s="10" t="n"/>
      <c r="P106" s="10" t="n"/>
      <c r="Q106" s="10" t="n"/>
      <c r="R106" s="10" t="n"/>
      <c r="S106" s="10" t="n"/>
      <c r="T106" s="10" t="n"/>
      <c r="U106" s="10" t="n"/>
      <c r="V106" s="10" t="n"/>
      <c r="W106" s="10" t="n"/>
      <c r="X106" s="10" t="n"/>
      <c r="Y106" s="10" t="n"/>
      <c r="Z106" s="10" t="inlineStr">
        <is>
          <t>Benchmark evaluasi keamanan end-to-end (MSB) dan dataset untuk mengukur kerentanan agen terhadap serangan MCP.</t>
        </is>
      </c>
      <c r="AA106" s="11">
        <f>IF(I106="","",IF(OR(I106="attack",I106="survey_review",I106="benchmark_measurement",I106="position_other",I106="not_defense"),"n/a",IF(OR(X106="spec_normatif",X106="produksi_bukti_publik"),"L3",IF(ISNUMBER(SEARCH("independent",R106)),"L2",IF(R106="author_run","L1",IF(R106="none","L0",""))))))</f>
        <v/>
      </c>
      <c r="AB106" s="11">
        <f>IF(I106="","",IF(AND(K106="deterministic_policy",M106="ya"),"PERIKSA: deterministic_policy tetapi LLM/ML ada dalam keputusan. ","")&amp;IF(AND(U106="ya",V106=""),"PERIKSA: adaptif=ya wajib ada kutipan. ","")&amp;IF(AND(R106="none",U106&lt;&gt;"n/a_tanpa_evaluasi",U106&lt;&gt;""),"PERIKSA: tanpa evaluasi, adaptif harus n/a. ","")&amp;IF(AND(OR(R106="author_run",R106="author_run+independent",R106="independent_only"),Q106=""),"PERIKSA: isi kelas_dievaluasi. ","")&amp;IF(AND(OR(R106="author_run",R106="author_run+independent",R106="independent_only"),W106=""),"PERIKSA: isi lokasi_bukti. ","")&amp;IF(AND(H106="tidak",R106&lt;&gt;""),"PERIKSA: tanpa teks lengkap, kosongkan kolom evaluasi. ",""))</f>
        <v/>
      </c>
      <c r="AC106" t="inlineStr">
        <is>
          <t>include</t>
        </is>
      </c>
    </row>
    <row r="107" ht="34.5" customHeight="1" s="21">
      <c r="A107" s="8" t="inlineStr">
        <is>
          <t>gautam-2026-registry-descriptions-go-stale-unevenly</t>
        </is>
      </c>
      <c r="B107" s="8" t="inlineStr">
        <is>
          <t>Registry Descriptions Go Stale Unevenly: An 89-Day Measurement of Model Context Protocol Drift, and Why Drift-Ranked Re-Auditing Under-Covers It</t>
        </is>
      </c>
      <c r="C107" s="8" t="n">
        <v>2026</v>
      </c>
      <c r="D107" s="8" t="inlineStr">
        <is>
          <t>E2</t>
        </is>
      </c>
      <c r="E107" s="8" t="inlineStr">
        <is>
          <t>scan_cepat</t>
        </is>
      </c>
      <c r="F107" s="8" t="inlineStr">
        <is>
          <t>none</t>
        </is>
      </c>
      <c r="G107" s="9" t="inlineStr">
        <is>
          <t>https://arxiv.org/abs/2608.00997</t>
        </is>
      </c>
      <c r="H107" s="10" t="n"/>
      <c r="I107" s="10" t="inlineStr">
        <is>
          <t>benchmark_measurement</t>
        </is>
      </c>
      <c r="J107" s="10" t="n"/>
      <c r="K107" s="10" t="n"/>
      <c r="L107" s="10" t="n"/>
      <c r="M107" s="10" t="n"/>
      <c r="N107" s="10" t="n"/>
      <c r="O107" s="10" t="n"/>
      <c r="P107" s="10" t="n"/>
      <c r="Q107" s="10" t="n"/>
      <c r="R107" s="10" t="n"/>
      <c r="S107" s="10" t="n"/>
      <c r="T107" s="10" t="n"/>
      <c r="U107" s="10" t="n"/>
      <c r="V107" s="10" t="n"/>
      <c r="W107" s="10" t="n"/>
      <c r="X107" s="10" t="n"/>
      <c r="Y107" s="10" t="n"/>
      <c r="Z107" s="10" t="inlineStr">
        <is>
          <t>Studi pengukuran empiris dan analisis temporal terhadap fenomena drift deskripsi server pada registri MCP.</t>
        </is>
      </c>
      <c r="AA107" s="11">
        <f>IF(I107="","",IF(OR(I107="attack",I107="survey_review",I107="benchmark_measurement",I107="position_other",I107="not_defense"),"n/a",IF(OR(X107="spec_normatif",X107="produksi_bukti_publik"),"L3",IF(ISNUMBER(SEARCH("independent",R107)),"L2",IF(R107="author_run","L1",IF(R107="none","L0",""))))))</f>
        <v/>
      </c>
      <c r="AB107" s="11">
        <f>IF(I107="","",IF(AND(K107="deterministic_policy",M107="ya"),"PERIKSA: deterministic_policy tetapi LLM/ML ada dalam keputusan. ","")&amp;IF(AND(U107="ya",V107=""),"PERIKSA: adaptif=ya wajib ada kutipan. ","")&amp;IF(AND(R107="none",U107&lt;&gt;"n/a_tanpa_evaluasi",U107&lt;&gt;""),"PERIKSA: tanpa evaluasi, adaptif harus n/a. ","")&amp;IF(AND(OR(R107="author_run",R107="author_run+independent",R107="independent_only"),Q107=""),"PERIKSA: isi kelas_dievaluasi. ","")&amp;IF(AND(OR(R107="author_run",R107="author_run+independent",R107="independent_only"),W107=""),"PERIKSA: isi lokasi_bukti. ","")&amp;IF(AND(H107="tidak",R107&lt;&gt;""),"PERIKSA: tanpa teks lengkap, kosongkan kolom evaluasi. ",""))</f>
        <v/>
      </c>
      <c r="AC107" t="inlineStr">
        <is>
          <t>include</t>
        </is>
      </c>
    </row>
    <row r="108" ht="34.5" customHeight="1" s="21">
      <c r="A108" s="8" t="inlineStr">
        <is>
          <t>gowthaman-2026-measuring-defenders-layer-aware-framework</t>
        </is>
      </c>
      <c r="B108" s="8" t="inlineStr">
        <is>
          <t>Measuring the Defenders: A Layer-Aware, Framework-Mapped Benchmark for Model Context Protocol Security Proxies</t>
        </is>
      </c>
      <c r="C108" s="8" t="n">
        <v>2026</v>
      </c>
      <c r="D108" s="8" t="inlineStr">
        <is>
          <t>E2</t>
        </is>
      </c>
      <c r="E108" s="8" t="inlineStr">
        <is>
          <t>scan_cepat</t>
        </is>
      </c>
      <c r="F108" s="8" t="inlineStr">
        <is>
          <t>none</t>
        </is>
      </c>
      <c r="G108" s="9" t="inlineStr">
        <is>
          <t>https://doi.org/10.6084/m9.figshare.32978657</t>
        </is>
      </c>
      <c r="H108" s="10" t="n"/>
      <c r="I108" s="10" t="inlineStr">
        <is>
          <t>benchmark_measurement</t>
        </is>
      </c>
      <c r="J108" s="10" t="n"/>
      <c r="K108" s="10" t="n"/>
      <c r="L108" s="10" t="n"/>
      <c r="M108" s="10" t="n"/>
      <c r="N108" s="10" t="n"/>
      <c r="O108" s="10" t="n"/>
      <c r="P108" s="10" t="n"/>
      <c r="Q108" s="10" t="n"/>
      <c r="R108" s="10" t="n"/>
      <c r="S108" s="10" t="n"/>
      <c r="T108" s="10" t="n"/>
      <c r="U108" s="10" t="n"/>
      <c r="V108" s="10" t="n"/>
      <c r="W108" s="10" t="n"/>
      <c r="X108" s="10" t="n"/>
      <c r="Y108" s="10" t="n"/>
      <c r="Z108" s="10" t="inlineStr">
        <is>
          <t>Tolok ukur (benchmark) untuk menguji efektivitas proxy pertahanan MCP terhadap fixture serangan (Pedoman: benchmark pertahanan = benchmark_measurement).</t>
        </is>
      </c>
      <c r="AA108" s="11">
        <f>IF(I108="","",IF(OR(I108="attack",I108="survey_review",I108="benchmark_measurement",I108="position_other",I108="not_defense"),"n/a",IF(OR(X108="spec_normatif",X108="produksi_bukti_publik"),"L3",IF(ISNUMBER(SEARCH("independent",R108)),"L2",IF(R108="author_run","L1",IF(R108="none","L0",""))))))</f>
        <v/>
      </c>
      <c r="AB108" s="11">
        <f>IF(I108="","",IF(AND(K108="deterministic_policy",M108="ya"),"PERIKSA: deterministic_policy tetapi LLM/ML ada dalam keputusan. ","")&amp;IF(AND(U108="ya",V108=""),"PERIKSA: adaptif=ya wajib ada kutipan. ","")&amp;IF(AND(R108="none",U108&lt;&gt;"n/a_tanpa_evaluasi",U108&lt;&gt;""),"PERIKSA: tanpa evaluasi, adaptif harus n/a. ","")&amp;IF(AND(OR(R108="author_run",R108="author_run+independent",R108="independent_only"),Q108=""),"PERIKSA: isi kelas_dievaluasi. ","")&amp;IF(AND(OR(R108="author_run",R108="author_run+independent",R108="independent_only"),W108=""),"PERIKSA: isi lokasi_bukti. ","")&amp;IF(AND(H108="tidak",R108&lt;&gt;""),"PERIKSA: tanpa teks lengkap, kosongkan kolom evaluasi. ",""))</f>
        <v/>
      </c>
      <c r="AC108" t="inlineStr">
        <is>
          <t>include</t>
        </is>
      </c>
    </row>
    <row r="109" ht="23.25" customHeight="1" s="21">
      <c r="A109" s="12" t="inlineStr">
        <is>
          <t>harshil-2026-vats-exploiting-implicit-authority-error</t>
        </is>
      </c>
      <c r="B109" s="12" t="inlineStr">
        <is>
          <t>VATS: Exploiting Implicit Authority in Error-Path Injection via Systematic Mutation</t>
        </is>
      </c>
      <c r="C109" s="12" t="n">
        <v>2026</v>
      </c>
      <c r="D109" s="12" t="inlineStr">
        <is>
          <t>E2</t>
        </is>
      </c>
      <c r="E109" s="12" t="inlineStr">
        <is>
          <t>scan_cepat</t>
        </is>
      </c>
      <c r="F109" s="12" t="inlineStr">
        <is>
          <t>none</t>
        </is>
      </c>
      <c r="G109" s="13" t="inlineStr">
        <is>
          <t>https://arxiv.org/abs/2606.07992</t>
        </is>
      </c>
      <c r="H109" s="12" t="n"/>
      <c r="I109" s="12" t="inlineStr">
        <is>
          <t>attack</t>
        </is>
      </c>
      <c r="J109" s="12" t="n"/>
      <c r="K109" s="12" t="n"/>
      <c r="L109" s="12" t="n"/>
      <c r="M109" s="12" t="n"/>
      <c r="N109" s="12" t="n"/>
      <c r="O109" s="12" t="n"/>
      <c r="P109" s="12" t="n"/>
      <c r="Q109" s="12" t="n"/>
      <c r="R109" s="12" t="n"/>
      <c r="S109" s="12" t="n"/>
      <c r="T109" s="12" t="n"/>
      <c r="U109" s="12" t="n"/>
      <c r="V109" s="12" t="n"/>
      <c r="W109" s="12" t="n"/>
      <c r="X109" s="12" t="n"/>
      <c r="Y109" s="12" t="n"/>
      <c r="Z109" s="12" t="inlineStr">
        <is>
          <t>[AUDIT_v5_EXCLUDE: EC2] Dikeluarkan dari korpus MCP-spesifik oleh audit reviewer kedua v5. (audit lanjutan; aturan A1) | Catatan lama: Kerangka serangan eksploitasi jalur pesan error (VATS) untuk indirect prompt injection tanpa mitigasi yang diuji.</t>
        </is>
      </c>
      <c r="AA109" s="12">
        <f>IF(I109="","",IF(OR(I109="attack",I109="survey_review",I109="benchmark_measurement",I109="position_other",I109="not_defense"),"n/a",IF(OR(X109="spec_normatif",X109="produksi_bukti_publik"),"L3",IF(ISNUMBER(SEARCH("independent",R109)),"L2",IF(R109="author_run","L1",IF(R109="none","L0",""))))))</f>
        <v/>
      </c>
      <c r="AB109" s="12">
        <f>IF(I109="","",IF(AND(K109="deterministic_policy",M109="ya"),"PERIKSA: deterministic_policy tetapi LLM/ML ada dalam keputusan. ","")&amp;IF(AND(U109="ya",V109=""),"PERIKSA: adaptif=ya wajib ada kutipan. ","")&amp;IF(AND(R109="none",U109&lt;&gt;"n/a_tanpa_evaluasi",U109&lt;&gt;""),"PERIKSA: tanpa evaluasi, adaptif harus n/a. ","")&amp;IF(AND(OR(R109="author_run",R109="author_run+independent",R109="independent_only"),Q109=""),"PERIKSA: isi kelas_dievaluasi. ","")&amp;IF(AND(OR(R109="author_run",R109="author_run+independent",R109="independent_only"),W109=""),"PERIKSA: isi lokasi_bukti. ","")&amp;IF(AND(H109="tidak",R109&lt;&gt;""),"PERIKSA: tanpa teks lengkap, kosongkan kolom evaluasi. ",""))</f>
        <v/>
      </c>
      <c r="AC109" s="14" t="inlineStr">
        <is>
          <t>exclude</t>
        </is>
      </c>
      <c r="AD109" s="14" t="inlineStr">
        <is>
          <t>EC2</t>
        </is>
      </c>
      <c r="AE109" s="14" t="inlineStr">
        <is>
          <t>audit lanjutan; aturan A1</t>
        </is>
      </c>
    </row>
    <row r="110" ht="23.25" customHeight="1" s="21">
      <c r="A110" s="12" t="inlineStr">
        <is>
          <t>hassan-2026-ss-zkr-spatial-semantic-zero</t>
        </is>
      </c>
      <c r="B110" s="12" t="inlineStr">
        <is>
          <t>SS-ZKR: Spatial-Semantic Zero-Knowledge Routing for Privacy-Preserving Multi-Agent Collaboration</t>
        </is>
      </c>
      <c r="C110" s="12" t="n">
        <v>2026</v>
      </c>
      <c r="D110" s="12" t="inlineStr">
        <is>
          <t>E2</t>
        </is>
      </c>
      <c r="E110" s="12" t="inlineStr">
        <is>
          <t>scan_cepat</t>
        </is>
      </c>
      <c r="F110" s="12" t="inlineStr">
        <is>
          <t>none</t>
        </is>
      </c>
      <c r="G110" s="13" t="inlineStr">
        <is>
          <t>https://arxiv.org/abs/2606.00962</t>
        </is>
      </c>
      <c r="H110" s="12" t="n"/>
      <c r="I110" s="12" t="inlineStr">
        <is>
          <t>not_defense</t>
        </is>
      </c>
      <c r="J110" s="12" t="n"/>
      <c r="K110" s="12" t="n"/>
      <c r="L110" s="12" t="n"/>
      <c r="M110" s="12" t="n"/>
      <c r="N110" s="12" t="n"/>
      <c r="O110" s="12" t="n"/>
      <c r="P110" s="12" t="n"/>
      <c r="Q110" s="12" t="n"/>
      <c r="R110" s="12" t="n"/>
      <c r="S110" s="12" t="n"/>
      <c r="T110" s="12" t="n"/>
      <c r="U110" s="12" t="n"/>
      <c r="V110" s="12" t="n"/>
      <c r="W110" s="12" t="n"/>
      <c r="X110" s="12" t="n"/>
      <c r="Y110" s="12" t="n"/>
      <c r="Z110" s="12" t="inlineStr">
        <is>
          <t>[AUDIT_v5_EXCLUDE: EC2] Dikeluarkan dari korpus MCP-spesifik oleh audit reviewer kedua v5. (dikeluarkan setelah audit reviewer kedua + rekonsiliasi) | Catatan lama: Protokol perutean kolaborasi multi-agen di luar fokus pertahanan keamanan protokol MCP -&gt; not_defense.</t>
        </is>
      </c>
      <c r="AA110" s="12">
        <f>IF(I110="","",IF(OR(I110="attack",I110="survey_review",I110="benchmark_measurement",I110="position_other",I110="not_defense"),"n/a",IF(OR(X110="spec_normatif",X110="produksi_bukti_publik"),"L3",IF(ISNUMBER(SEARCH("independent",R110)),"L2",IF(R110="author_run","L1",IF(R110="none","L0",""))))))</f>
        <v/>
      </c>
      <c r="AB110" s="12">
        <f>IF(I110="","",IF(AND(K110="deterministic_policy",M110="ya"),"PERIKSA: deterministic_policy tetapi LLM/ML ada dalam keputusan. ","")&amp;IF(AND(U110="ya",V110=""),"PERIKSA: adaptif=ya wajib ada kutipan. ","")&amp;IF(AND(R110="none",U110&lt;&gt;"n/a_tanpa_evaluasi",U110&lt;&gt;""),"PERIKSA: tanpa evaluasi, adaptif harus n/a. ","")&amp;IF(AND(OR(R110="author_run",R110="author_run+independent",R110="independent_only"),Q110=""),"PERIKSA: isi kelas_dievaluasi. ","")&amp;IF(AND(OR(R110="author_run",R110="author_run+independent",R110="independent_only"),W110=""),"PERIKSA: isi lokasi_bukti. ","")&amp;IF(AND(H110="tidak",R110&lt;&gt;""),"PERIKSA: tanpa teks lengkap, kosongkan kolom evaluasi. ",""))</f>
        <v/>
      </c>
      <c r="AC110" s="14" t="inlineStr">
        <is>
          <t>exclude</t>
        </is>
      </c>
      <c r="AD110" s="14" t="inlineStr">
        <is>
          <t>EC2</t>
        </is>
      </c>
      <c r="AE110" s="14" t="inlineStr">
        <is>
          <t>dikeluarkan setelah audit reviewer kedua + rekonsiliasi</t>
        </is>
      </c>
    </row>
    <row r="111" ht="23.25" customHeight="1" s="21">
      <c r="A111" s="8" t="inlineStr">
        <is>
          <t>hechuan-2025-measurement-study-model-context-protocol</t>
        </is>
      </c>
      <c r="B111" s="8" t="inlineStr">
        <is>
          <t>A Measurement Study of Model Context Protocol Ecosystem</t>
        </is>
      </c>
      <c r="C111" s="8" t="n">
        <v>2025</v>
      </c>
      <c r="D111" s="8" t="inlineStr">
        <is>
          <t>E2</t>
        </is>
      </c>
      <c r="E111" s="8" t="inlineStr">
        <is>
          <t>scan_cepat</t>
        </is>
      </c>
      <c r="F111" s="8" t="inlineStr">
        <is>
          <t>none</t>
        </is>
      </c>
      <c r="G111" s="9" t="inlineStr">
        <is>
          <t>https://arxiv.org/abs/2509.25292</t>
        </is>
      </c>
      <c r="H111" s="10" t="n"/>
      <c r="I111" s="10" t="inlineStr">
        <is>
          <t>benchmark_measurement</t>
        </is>
      </c>
      <c r="J111" s="10" t="n"/>
      <c r="K111" s="10" t="n"/>
      <c r="L111" s="10" t="n"/>
      <c r="M111" s="10" t="n"/>
      <c r="N111" s="10" t="n"/>
      <c r="O111" s="10" t="n"/>
      <c r="P111" s="10" t="n"/>
      <c r="Q111" s="10" t="n"/>
      <c r="R111" s="10" t="n"/>
      <c r="S111" s="10" t="n"/>
      <c r="T111" s="10" t="n"/>
      <c r="U111" s="10" t="n"/>
      <c r="V111" s="10" t="n"/>
      <c r="W111" s="10" t="n"/>
      <c r="X111" s="10" t="n"/>
      <c r="Y111" s="10" t="n"/>
      <c r="Z111" s="10" t="inlineStr">
        <is>
          <t>Studi pengukuran empiris skala besar terhadap ekosistem registri server dan klien MCP menggunakan MCPCrawler.</t>
        </is>
      </c>
      <c r="AA111" s="11">
        <f>IF(I111="","",IF(OR(I111="attack",I111="survey_review",I111="benchmark_measurement",I111="position_other",I111="not_defense"),"n/a",IF(OR(X111="spec_normatif",X111="produksi_bukti_publik"),"L3",IF(ISNUMBER(SEARCH("independent",R111)),"L2",IF(R111="author_run","L1",IF(R111="none","L0",""))))))</f>
        <v/>
      </c>
      <c r="AB111" s="11">
        <f>IF(I111="","",IF(AND(K111="deterministic_policy",M111="ya"),"PERIKSA: deterministic_policy tetapi LLM/ML ada dalam keputusan. ","")&amp;IF(AND(U111="ya",V111=""),"PERIKSA: adaptif=ya wajib ada kutipan. ","")&amp;IF(AND(R111="none",U111&lt;&gt;"n/a_tanpa_evaluasi",U111&lt;&gt;""),"PERIKSA: tanpa evaluasi, adaptif harus n/a. ","")&amp;IF(AND(OR(R111="author_run",R111="author_run+independent",R111="independent_only"),Q111=""),"PERIKSA: isi kelas_dievaluasi. ","")&amp;IF(AND(OR(R111="author_run",R111="author_run+independent",R111="independent_only"),W111=""),"PERIKSA: isi lokasi_bukti. ","")&amp;IF(AND(H111="tidak",R111&lt;&gt;""),"PERIKSA: tanpa teks lengkap, kosongkan kolom evaluasi. ",""))</f>
        <v/>
      </c>
      <c r="AC111" t="inlineStr">
        <is>
          <t>include</t>
        </is>
      </c>
    </row>
    <row r="112" ht="23.25" customHeight="1" s="21">
      <c r="A112" s="8" t="inlineStr">
        <is>
          <t>huanxi-2026-mcpevol-bench-benchmarking-llm-agent</t>
        </is>
      </c>
      <c r="B112" s="8" t="inlineStr">
        <is>
          <t>MCPEvol-Bench: Benchmarking LLM Agent Performance Across Dynamic Evolutions of MCP Servers</t>
        </is>
      </c>
      <c r="C112" s="8" t="n">
        <v>2026</v>
      </c>
      <c r="D112" s="8" t="inlineStr">
        <is>
          <t>E2</t>
        </is>
      </c>
      <c r="E112" s="8" t="inlineStr">
        <is>
          <t>scan_cepat</t>
        </is>
      </c>
      <c r="F112" s="8" t="inlineStr">
        <is>
          <t>none</t>
        </is>
      </c>
      <c r="G112" s="9" t="inlineStr">
        <is>
          <t>https://arxiv.org/abs/2607.14642</t>
        </is>
      </c>
      <c r="H112" s="10" t="n"/>
      <c r="I112" s="10" t="inlineStr">
        <is>
          <t>benchmark_measurement</t>
        </is>
      </c>
      <c r="J112" s="10" t="n"/>
      <c r="K112" s="10" t="n"/>
      <c r="L112" s="10" t="n"/>
      <c r="M112" s="10" t="n"/>
      <c r="N112" s="10" t="n"/>
      <c r="O112" s="10" t="n"/>
      <c r="P112" s="10" t="n"/>
      <c r="Q112" s="10" t="n"/>
      <c r="R112" s="10" t="n"/>
      <c r="S112" s="10" t="n"/>
      <c r="T112" s="10" t="n"/>
      <c r="U112" s="10" t="n"/>
      <c r="V112" s="10" t="n"/>
      <c r="W112" s="10" t="n"/>
      <c r="X112" s="10" t="n"/>
      <c r="Y112" s="10" t="n"/>
      <c r="Z112" s="10" t="inlineStr">
        <is>
          <t>Tolok ukur (benchmark) untuk mengevaluasi kinerja dan adaptabilitas agen LLM terhadap evolusi antarmuka server MCP.</t>
        </is>
      </c>
      <c r="AA112" s="11">
        <f>IF(I112="","",IF(OR(I112="attack",I112="survey_review",I112="benchmark_measurement",I112="position_other",I112="not_defense"),"n/a",IF(OR(X112="spec_normatif",X112="produksi_bukti_publik"),"L3",IF(ISNUMBER(SEARCH("independent",R112)),"L2",IF(R112="author_run","L1",IF(R112="none","L0",""))))))</f>
        <v/>
      </c>
      <c r="AB112" s="11">
        <f>IF(I112="","",IF(AND(K112="deterministic_policy",M112="ya"),"PERIKSA: deterministic_policy tetapi LLM/ML ada dalam keputusan. ","")&amp;IF(AND(U112="ya",V112=""),"PERIKSA: adaptif=ya wajib ada kutipan. ","")&amp;IF(AND(R112="none",U112&lt;&gt;"n/a_tanpa_evaluasi",U112&lt;&gt;""),"PERIKSA: tanpa evaluasi, adaptif harus n/a. ","")&amp;IF(AND(OR(R112="author_run",R112="author_run+independent",R112="independent_only"),Q112=""),"PERIKSA: isi kelas_dievaluasi. ","")&amp;IF(AND(OR(R112="author_run",R112="author_run+independent",R112="independent_only"),W112=""),"PERIKSA: isi lokasi_bukti. ","")&amp;IF(AND(H112="tidak",R112&lt;&gt;""),"PERIKSA: tanpa teks lengkap, kosongkan kolom evaluasi. ",""))</f>
        <v/>
      </c>
      <c r="AC112" t="inlineStr">
        <is>
          <t>include</t>
        </is>
      </c>
    </row>
    <row r="113" ht="23.25" customHeight="1" s="21">
      <c r="A113" s="12" t="inlineStr">
        <is>
          <t>i-2026-architectural-principles-multi-agent-systems</t>
        </is>
      </c>
      <c r="B113" s="12" t="inlineStr">
        <is>
          <t>Architectural Principles for Multi-Agent Systems Based on The Model Context Protocol</t>
        </is>
      </c>
      <c r="C113" s="12" t="n">
        <v>2026</v>
      </c>
      <c r="D113" s="12" t="inlineStr">
        <is>
          <t>E1</t>
        </is>
      </c>
      <c r="E113" s="12" t="inlineStr">
        <is>
          <t>scan_cepat</t>
        </is>
      </c>
      <c r="F113" s="12" t="inlineStr">
        <is>
          <t>none</t>
        </is>
      </c>
      <c r="G113" s="13" t="inlineStr">
        <is>
          <t>https://doi.org/10.37547/tajet/volume08issue03-12</t>
        </is>
      </c>
      <c r="H113" s="12" t="n"/>
      <c r="I113" s="12" t="inlineStr">
        <is>
          <t>position_other</t>
        </is>
      </c>
      <c r="J113" s="12" t="n"/>
      <c r="K113" s="12" t="n"/>
      <c r="L113" s="12" t="n"/>
      <c r="M113" s="12" t="n"/>
      <c r="N113" s="12" t="n"/>
      <c r="O113" s="12" t="n"/>
      <c r="P113" s="12" t="n"/>
      <c r="Q113" s="12" t="n"/>
      <c r="R113" s="12" t="n"/>
      <c r="S113" s="12" t="n"/>
      <c r="T113" s="12" t="n"/>
      <c r="U113" s="12" t="n"/>
      <c r="V113" s="12" t="n"/>
      <c r="W113" s="12" t="n"/>
      <c r="X113" s="12" t="n"/>
      <c r="Y113" s="12" t="n"/>
      <c r="Z113" s="12" t="inlineStr">
        <is>
          <t>[AUDIT_v5_EXCLUDE: EC1] Dikeluarkan dari korpus MCP-spesifik oleh audit reviewer kedua v5. (audit lanjutan; diterima koordinator) | Catatan lama: Makalah posisi konseptual mengenai prinsip arsitektur sistem multi-agen berbasis MCP tanpa implementasi kode pertahanan.</t>
        </is>
      </c>
      <c r="AA113" s="12">
        <f>IF(I113="","",IF(OR(I113="attack",I113="survey_review",I113="benchmark_measurement",I113="position_other",I113="not_defense"),"n/a",IF(OR(X113="spec_normatif",X113="produksi_bukti_publik"),"L3",IF(ISNUMBER(SEARCH("independent",R113)),"L2",IF(R113="author_run","L1",IF(R113="none","L0",""))))))</f>
        <v/>
      </c>
      <c r="AB113" s="12">
        <f>IF(I113="","",IF(AND(K113="deterministic_policy",M113="ya"),"PERIKSA: deterministic_policy tetapi LLM/ML ada dalam keputusan. ","")&amp;IF(AND(U113="ya",V113=""),"PERIKSA: adaptif=ya wajib ada kutipan. ","")&amp;IF(AND(R113="none",U113&lt;&gt;"n/a_tanpa_evaluasi",U113&lt;&gt;""),"PERIKSA: tanpa evaluasi, adaptif harus n/a. ","")&amp;IF(AND(OR(R113="author_run",R113="author_run+independent",R113="independent_only"),Q113=""),"PERIKSA: isi kelas_dievaluasi. ","")&amp;IF(AND(OR(R113="author_run",R113="author_run+independent",R113="independent_only"),W113=""),"PERIKSA: isi lokasi_bukti. ","")&amp;IF(AND(H113="tidak",R113&lt;&gt;""),"PERIKSA: tanpa teks lengkap, kosongkan kolom evaluasi. ",""))</f>
        <v/>
      </c>
      <c r="AC113" s="14" t="inlineStr">
        <is>
          <t>exclude</t>
        </is>
      </c>
      <c r="AD113" s="14" t="inlineStr">
        <is>
          <t>EC1</t>
        </is>
      </c>
      <c r="AE113" s="14" t="inlineStr">
        <is>
          <t>audit lanjutan; diterima koordinator</t>
        </is>
      </c>
    </row>
    <row r="114" ht="23.25" customHeight="1" s="21">
      <c r="A114" s="8" t="inlineStr">
        <is>
          <t>jiayi-2025-llm-infer-risk-information-mcp</t>
        </is>
      </c>
      <c r="B114" s="8" t="inlineStr">
        <is>
          <t>Can LLM Infer Risk Information From MCP Server System Logs?</t>
        </is>
      </c>
      <c r="C114" s="8" t="n">
        <v>2025</v>
      </c>
      <c r="D114" s="8" t="inlineStr">
        <is>
          <t>E2</t>
        </is>
      </c>
      <c r="E114" s="8" t="inlineStr">
        <is>
          <t>scan_cepat</t>
        </is>
      </c>
      <c r="F114" s="8" t="inlineStr">
        <is>
          <t>none</t>
        </is>
      </c>
      <c r="G114" s="9" t="inlineStr">
        <is>
          <t>https://arxiv.org/abs/2511.05867</t>
        </is>
      </c>
      <c r="H114" s="10" t="n"/>
      <c r="I114" s="10" t="inlineStr">
        <is>
          <t>benchmark_measurement</t>
        </is>
      </c>
      <c r="J114" s="10" t="n"/>
      <c r="K114" s="10" t="n"/>
      <c r="L114" s="10" t="n"/>
      <c r="M114" s="10" t="n"/>
      <c r="N114" s="10" t="n"/>
      <c r="O114" s="10" t="n"/>
      <c r="P114" s="10" t="n"/>
      <c r="Q114" s="10" t="n"/>
      <c r="R114" s="10" t="n"/>
      <c r="S114" s="10" t="n"/>
      <c r="T114" s="10" t="n"/>
      <c r="U114" s="10" t="n"/>
      <c r="V114" s="10" t="n"/>
      <c r="W114" s="10" t="n"/>
      <c r="X114" s="10" t="n"/>
      <c r="Y114" s="10" t="n"/>
      <c r="Z114" s="10" t="inlineStr">
        <is>
          <t>Tolok ukur sintetis (MCP-RiskCue) untuk mengukur kemampuan LLM mendeteksi anomali pada log sistem server MCP.</t>
        </is>
      </c>
      <c r="AA114" s="11">
        <f>IF(I114="","",IF(OR(I114="attack",I114="survey_review",I114="benchmark_measurement",I114="position_other",I114="not_defense"),"n/a",IF(OR(X114="spec_normatif",X114="produksi_bukti_publik"),"L3",IF(ISNUMBER(SEARCH("independent",R114)),"L2",IF(R114="author_run","L1",IF(R114="none","L0",""))))))</f>
        <v/>
      </c>
      <c r="AB114" s="11">
        <f>IF(I114="","",IF(AND(K114="deterministic_policy",M114="ya"),"PERIKSA: deterministic_policy tetapi LLM/ML ada dalam keputusan. ","")&amp;IF(AND(U114="ya",V114=""),"PERIKSA: adaptif=ya wajib ada kutipan. ","")&amp;IF(AND(R114="none",U114&lt;&gt;"n/a_tanpa_evaluasi",U114&lt;&gt;""),"PERIKSA: tanpa evaluasi, adaptif harus n/a. ","")&amp;IF(AND(OR(R114="author_run",R114="author_run+independent",R114="independent_only"),Q114=""),"PERIKSA: isi kelas_dievaluasi. ","")&amp;IF(AND(OR(R114="author_run",R114="author_run+independent",R114="independent_only"),W114=""),"PERIKSA: isi lokasi_bukti. ","")&amp;IF(AND(H114="tidak",R114&lt;&gt;""),"PERIKSA: tanpa teks lengkap, kosongkan kolom evaluasi. ",""))</f>
        <v/>
      </c>
      <c r="AC114" t="inlineStr">
        <is>
          <t>include</t>
        </is>
      </c>
    </row>
    <row r="115" ht="23.25" customHeight="1" s="21">
      <c r="A115" s="8" t="inlineStr">
        <is>
          <t>jinwoo-2026-beyond-tool-poisoning-attack-surfaces</t>
        </is>
      </c>
      <c r="B115" s="8" t="inlineStr">
        <is>
          <t>Beyond Tool Poisoning: Attack Surfaces of Malicious Remote MCP Servers Across LLM Platforms</t>
        </is>
      </c>
      <c r="C115" s="8" t="n">
        <v>2026</v>
      </c>
      <c r="D115" s="8" t="inlineStr">
        <is>
          <t>E1</t>
        </is>
      </c>
      <c r="E115" s="8" t="inlineStr">
        <is>
          <t>scan_cepat</t>
        </is>
      </c>
      <c r="F115" s="8" t="inlineStr">
        <is>
          <t>none</t>
        </is>
      </c>
      <c r="G115" s="9" t="inlineStr">
        <is>
          <t>https://doi.org/10.3390/electronics15102214</t>
        </is>
      </c>
      <c r="H115" s="10" t="n"/>
      <c r="I115" s="10" t="inlineStr">
        <is>
          <t>attack</t>
        </is>
      </c>
      <c r="J115" s="10" t="n"/>
      <c r="K115" s="10" t="n"/>
      <c r="L115" s="10" t="n"/>
      <c r="M115" s="10" t="n"/>
      <c r="N115" s="10" t="n"/>
      <c r="O115" s="10" t="n"/>
      <c r="P115" s="10" t="n"/>
      <c r="Q115" s="10" t="n"/>
      <c r="R115" s="10" t="n"/>
      <c r="S115" s="10" t="n"/>
      <c r="T115" s="10" t="n"/>
      <c r="U115" s="10" t="n"/>
      <c r="V115" s="10" t="n"/>
      <c r="W115" s="10" t="n"/>
      <c r="X115" s="10" t="n"/>
      <c r="Y115" s="10" t="n"/>
      <c r="Z115" s="10" t="inlineStr">
        <is>
          <t>Analisis dan pembuktian konsep serangan server MCP remote jahat (LLM-passive &amp; LLM-active) tanpa implementasi mitigasi.</t>
        </is>
      </c>
      <c r="AA115" s="11">
        <f>IF(I115="","",IF(OR(I115="attack",I115="survey_review",I115="benchmark_measurement",I115="position_other",I115="not_defense"),"n/a",IF(OR(X115="spec_normatif",X115="produksi_bukti_publik"),"L3",IF(ISNUMBER(SEARCH("independent",R115)),"L2",IF(R115="author_run","L1",IF(R115="none","L0",""))))))</f>
        <v/>
      </c>
      <c r="AB115" s="11">
        <f>IF(I115="","",IF(AND(K115="deterministic_policy",M115="ya"),"PERIKSA: deterministic_policy tetapi LLM/ML ada dalam keputusan. ","")&amp;IF(AND(U115="ya",V115=""),"PERIKSA: adaptif=ya wajib ada kutipan. ","")&amp;IF(AND(R115="none",U115&lt;&gt;"n/a_tanpa_evaluasi",U115&lt;&gt;""),"PERIKSA: tanpa evaluasi, adaptif harus n/a. ","")&amp;IF(AND(OR(R115="author_run",R115="author_run+independent",R115="independent_only"),Q115=""),"PERIKSA: isi kelas_dievaluasi. ","")&amp;IF(AND(OR(R115="author_run",R115="author_run+independent",R115="independent_only"),W115=""),"PERIKSA: isi lokasi_bukti. ","")&amp;IF(AND(H115="tidak",R115&lt;&gt;""),"PERIKSA: tanpa teks lengkap, kosongkan kolom evaluasi. ",""))</f>
        <v/>
      </c>
      <c r="AC115" t="inlineStr">
        <is>
          <t>include</t>
        </is>
      </c>
    </row>
    <row r="116" ht="23.25" customHeight="1" s="21">
      <c r="A116" s="12" t="inlineStr">
        <is>
          <t>john-2026-training-free-refusal-mcp-exploits</t>
        </is>
      </c>
      <c r="B116" s="12" t="inlineStr">
        <is>
          <t>Training-Free Refusal of MCP Exploits via Retrieval-Augmented Generation</t>
        </is>
      </c>
      <c r="C116" s="12" t="n">
        <v>2026</v>
      </c>
      <c r="D116" s="12" t="inlineStr">
        <is>
          <t>E2</t>
        </is>
      </c>
      <c r="E116" s="12" t="inlineStr">
        <is>
          <t>scan_cepat</t>
        </is>
      </c>
      <c r="F116" s="12" t="inlineStr">
        <is>
          <t>none</t>
        </is>
      </c>
      <c r="G116" s="13" t="inlineStr">
        <is>
          <t>https://arxiv.org/abs/2605.11217</t>
        </is>
      </c>
      <c r="H116" s="12" t="inlineStr">
        <is>
          <t>tidak</t>
        </is>
      </c>
      <c r="I116" s="12" t="inlineStr">
        <is>
          <t>not_defense</t>
        </is>
      </c>
      <c r="J116" s="12" t="n"/>
      <c r="K116" s="12" t="n"/>
      <c r="L116" s="12" t="n"/>
      <c r="M116" s="12" t="n"/>
      <c r="N116" s="12" t="n"/>
      <c r="O116" s="12" t="n"/>
      <c r="P116" s="12" t="n"/>
      <c r="Q116" s="12" t="n"/>
      <c r="R116" s="12" t="n"/>
      <c r="S116" s="12" t="n"/>
      <c r="T116" s="12" t="n"/>
      <c r="U116" s="12" t="n"/>
      <c r="V116" s="12" t="n"/>
      <c r="W116" s="12" t="n"/>
      <c r="X116" s="12" t="n"/>
      <c r="Y116" s="12" t="n"/>
      <c r="Z116" s="12" t="inlineStr">
        <is>
          <t>[AUDIT_v5_EXCLUDE: EC2] Dikeluarkan dari korpus MCP-spesifik oleh audit reviewer kedua v5 (peran sebelumnya defense_primary didemotasi karena di luar korpus MCP). (audit lanjutan; diterima koordinator) | Catatan lama: TERDETEKSI_PERTAHANAN: Naikkan ke telaah teks lengkap - Mengimplementasikan dan mengevaluasi algoritma mitigasi RAG-Pref untuk menolak eksploitasi injeksi prompt pada MCP.</t>
        </is>
      </c>
      <c r="AA116" s="12">
        <f>IF(I116="","",IF(OR(I116="attack",I116="survey_review",I116="benchmark_measurement",I116="position_other",I116="not_defense"),"n/a",IF(OR(X116="spec_normatif",X116="produksi_bukti_publik"),"L3",IF(ISNUMBER(SEARCH("independent",R116)),"L2",IF(R116="author_run","L1",IF(R116="none","L0",""))))))</f>
        <v/>
      </c>
      <c r="AB116" s="12">
        <f>IF(I116="","",IF(AND(K116="deterministic_policy",M116="ya"),"PERIKSA: deterministic_policy tetapi LLM/ML ada dalam keputusan. ","")&amp;IF(AND(U116="ya",V116=""),"PERIKSA: adaptif=ya wajib ada kutipan. ","")&amp;IF(AND(R116="none",U116&lt;&gt;"n/a_tanpa_evaluasi",U116&lt;&gt;""),"PERIKSA: tanpa evaluasi, adaptif harus n/a. ","")&amp;IF(AND(OR(R116="author_run",R116="author_run+independent",R116="independent_only"),Q116=""),"PERIKSA: isi kelas_dievaluasi. ","")&amp;IF(AND(OR(R116="author_run",R116="author_run+independent",R116="independent_only"),W116=""),"PERIKSA: isi lokasi_bukti. ","")&amp;IF(AND(H116="tidak",R116&lt;&gt;""),"PERIKSA: tanpa teks lengkap, kosongkan kolom evaluasi. ",""))</f>
        <v/>
      </c>
      <c r="AC116" s="14" t="inlineStr">
        <is>
          <t>exclude</t>
        </is>
      </c>
      <c r="AD116" s="14" t="inlineStr">
        <is>
          <t>EC2</t>
        </is>
      </c>
      <c r="AE116" s="14" t="inlineStr">
        <is>
          <t>audit lanjutan; diterima koordinator</t>
        </is>
      </c>
    </row>
    <row r="117" ht="23.25" customHeight="1" s="21">
      <c r="A117" s="8" t="inlineStr">
        <is>
          <t>joshua-2026-taxonomy-runtime-faults-model-context</t>
        </is>
      </c>
      <c r="B117" s="8" t="inlineStr">
        <is>
          <t>A Taxonomy of Runtime Faults in Model Context Protocol Servers</t>
        </is>
      </c>
      <c r="C117" s="8" t="n">
        <v>2026</v>
      </c>
      <c r="D117" s="8" t="inlineStr">
        <is>
          <t>E2</t>
        </is>
      </c>
      <c r="E117" s="8" t="inlineStr">
        <is>
          <t>scan_cepat</t>
        </is>
      </c>
      <c r="F117" s="8" t="inlineStr">
        <is>
          <t>none</t>
        </is>
      </c>
      <c r="G117" s="9" t="inlineStr">
        <is>
          <t>https://arxiv.org/abs/2606.05339</t>
        </is>
      </c>
      <c r="H117" s="10" t="n"/>
      <c r="I117" s="10" t="inlineStr">
        <is>
          <t>survey_review</t>
        </is>
      </c>
      <c r="J117" s="10" t="n"/>
      <c r="K117" s="10" t="n"/>
      <c r="L117" s="10" t="n"/>
      <c r="M117" s="10" t="n"/>
      <c r="N117" s="10" t="n"/>
      <c r="O117" s="10" t="n"/>
      <c r="P117" s="10" t="n"/>
      <c r="Q117" s="10" t="n"/>
      <c r="R117" s="10" t="n"/>
      <c r="S117" s="10" t="n"/>
      <c r="T117" s="10" t="n"/>
      <c r="U117" s="10" t="n"/>
      <c r="V117" s="10" t="n"/>
      <c r="W117" s="10" t="n"/>
      <c r="X117" s="10" t="n"/>
      <c r="Y117" s="10" t="n"/>
      <c r="Z117" s="10" t="inlineStr">
        <is>
          <t>Studi taksonomi empiris mengenai kesalahan runtime (runtime faults) pada server MCP berbasis analisis repositori dan survei.</t>
        </is>
      </c>
      <c r="AA117" s="11">
        <f>IF(I117="","",IF(OR(I117="attack",I117="survey_review",I117="benchmark_measurement",I117="position_other",I117="not_defense"),"n/a",IF(OR(X117="spec_normatif",X117="produksi_bukti_publik"),"L3",IF(ISNUMBER(SEARCH("independent",R117)),"L2",IF(R117="author_run","L1",IF(R117="none","L0",""))))))</f>
        <v/>
      </c>
      <c r="AB117" s="11">
        <f>IF(I117="","",IF(AND(K117="deterministic_policy",M117="ya"),"PERIKSA: deterministic_policy tetapi LLM/ML ada dalam keputusan. ","")&amp;IF(AND(U117="ya",V117=""),"PERIKSA: adaptif=ya wajib ada kutipan. ","")&amp;IF(AND(R117="none",U117&lt;&gt;"n/a_tanpa_evaluasi",U117&lt;&gt;""),"PERIKSA: tanpa evaluasi, adaptif harus n/a. ","")&amp;IF(AND(OR(R117="author_run",R117="author_run+independent",R117="independent_only"),Q117=""),"PERIKSA: isi kelas_dievaluasi. ","")&amp;IF(AND(OR(R117="author_run",R117="author_run+independent",R117="independent_only"),W117=""),"PERIKSA: isi lokasi_bukti. ","")&amp;IF(AND(H117="tidak",R117&lt;&gt;""),"PERIKSA: tanpa teks lengkap, kosongkan kolom evaluasi. ",""))</f>
        <v/>
      </c>
      <c r="AC117" t="inlineStr">
        <is>
          <t>include</t>
        </is>
      </c>
    </row>
    <row r="118" ht="23.25" customHeight="1" s="21">
      <c r="A118" s="8" t="inlineStr">
        <is>
          <t>kaiyu-2026-beyond-max-tokens-stealthy-resource</t>
        </is>
      </c>
      <c r="B118" s="8" t="inlineStr">
        <is>
          <t>Beyond Max Tokens: Stealthy Resource Amplification via Tool Calling Chains in LLM Agents</t>
        </is>
      </c>
      <c r="C118" s="8" t="n">
        <v>2026</v>
      </c>
      <c r="D118" s="8" t="inlineStr">
        <is>
          <t>E2</t>
        </is>
      </c>
      <c r="E118" s="8" t="inlineStr">
        <is>
          <t>scan_cepat</t>
        </is>
      </c>
      <c r="F118" s="8" t="inlineStr">
        <is>
          <t>none</t>
        </is>
      </c>
      <c r="G118" s="9" t="inlineStr">
        <is>
          <t>https://arxiv.org/abs/2601.10955</t>
        </is>
      </c>
      <c r="H118" s="10" t="n"/>
      <c r="I118" s="10" t="inlineStr">
        <is>
          <t>attack</t>
        </is>
      </c>
      <c r="J118" s="10" t="n"/>
      <c r="K118" s="10" t="n"/>
      <c r="L118" s="10" t="n"/>
      <c r="M118" s="10" t="n"/>
      <c r="N118" s="10" t="n"/>
      <c r="O118" s="10" t="n"/>
      <c r="P118" s="10" t="n"/>
      <c r="Q118" s="10" t="n"/>
      <c r="R118" s="10" t="n"/>
      <c r="S118" s="10" t="n"/>
      <c r="T118" s="10" t="n"/>
      <c r="U118" s="10" t="n"/>
      <c r="V118" s="10" t="n"/>
      <c r="W118" s="10" t="n"/>
      <c r="X118" s="10" t="n"/>
      <c r="Y118" s="10" t="n"/>
      <c r="Z118" s="10" t="inlineStr">
        <is>
          <t>Perancangan teknik serangan DoS ekonomi melalui manipulasi rantai pemanggilan tool MCP tanpa mitigasi yang dievaluasi.</t>
        </is>
      </c>
      <c r="AA118" s="11">
        <f>IF(I118="","",IF(OR(I118="attack",I118="survey_review",I118="benchmark_measurement",I118="position_other",I118="not_defense"),"n/a",IF(OR(X118="spec_normatif",X118="produksi_bukti_publik"),"L3",IF(ISNUMBER(SEARCH("independent",R118)),"L2",IF(R118="author_run","L1",IF(R118="none","L0",""))))))</f>
        <v/>
      </c>
      <c r="AB118" s="11">
        <f>IF(I118="","",IF(AND(K118="deterministic_policy",M118="ya"),"PERIKSA: deterministic_policy tetapi LLM/ML ada dalam keputusan. ","")&amp;IF(AND(U118="ya",V118=""),"PERIKSA: adaptif=ya wajib ada kutipan. ","")&amp;IF(AND(R118="none",U118&lt;&gt;"n/a_tanpa_evaluasi",U118&lt;&gt;""),"PERIKSA: tanpa evaluasi, adaptif harus n/a. ","")&amp;IF(AND(OR(R118="author_run",R118="author_run+independent",R118="independent_only"),Q118=""),"PERIKSA: isi kelas_dievaluasi. ","")&amp;IF(AND(OR(R118="author_run",R118="author_run+independent",R118="independent_only"),W118=""),"PERIKSA: isi lokasi_bukti. ","")&amp;IF(AND(H118="tidak",R118&lt;&gt;""),"PERIKSA: tanpa teks lengkap, kosongkan kolom evaluasi. ",""))</f>
        <v/>
      </c>
      <c r="AC118" t="inlineStr">
        <is>
          <t>include</t>
        </is>
      </c>
    </row>
    <row r="119" ht="23.25" customHeight="1" s="21">
      <c r="A119" s="8" t="inlineStr">
        <is>
          <t>laizhen-2026-a2m-trace-optimized-agent-hijacking</t>
        </is>
      </c>
      <c r="B119" s="8" t="inlineStr">
        <is>
          <t>A2M: Trace-Optimized Agent Hijacking in the MCP Ecosystem</t>
        </is>
      </c>
      <c r="C119" s="8" t="n">
        <v>2026</v>
      </c>
      <c r="D119" s="8" t="inlineStr">
        <is>
          <t>E2</t>
        </is>
      </c>
      <c r="E119" s="8" t="inlineStr">
        <is>
          <t>scan_cepat</t>
        </is>
      </c>
      <c r="F119" s="8" t="inlineStr">
        <is>
          <t>none</t>
        </is>
      </c>
      <c r="G119" s="9" t="inlineStr">
        <is>
          <t>https://arxiv.org/abs/2609.26761</t>
        </is>
      </c>
      <c r="H119" s="10" t="n"/>
      <c r="I119" s="10" t="inlineStr">
        <is>
          <t>attack</t>
        </is>
      </c>
      <c r="J119" s="10" t="n"/>
      <c r="K119" s="10" t="n"/>
      <c r="L119" s="10" t="n"/>
      <c r="M119" s="10" t="n"/>
      <c r="N119" s="10" t="n"/>
      <c r="O119" s="10" t="n"/>
      <c r="P119" s="10" t="n"/>
      <c r="Q119" s="10" t="n"/>
      <c r="R119" s="10" t="n"/>
      <c r="S119" s="10" t="n"/>
      <c r="T119" s="10" t="n"/>
      <c r="U119" s="10" t="n"/>
      <c r="V119" s="10" t="n"/>
      <c r="W119" s="10" t="n"/>
      <c r="X119" s="10" t="n"/>
      <c r="Y119" s="10" t="n"/>
      <c r="Z119" s="10" t="inlineStr">
        <is>
          <t>Kerangka serangan pembajakan agen MCP dua tahap (A2M) berbasis optimasi metadata dan jejak eksekusi.</t>
        </is>
      </c>
      <c r="AA119" s="11">
        <f>IF(I119="","",IF(OR(I119="attack",I119="survey_review",I119="benchmark_measurement",I119="position_other",I119="not_defense"),"n/a",IF(OR(X119="spec_normatif",X119="produksi_bukti_publik"),"L3",IF(ISNUMBER(SEARCH("independent",R119)),"L2",IF(R119="author_run","L1",IF(R119="none","L0",""))))))</f>
        <v/>
      </c>
      <c r="AB119" s="11">
        <f>IF(I119="","",IF(AND(K119="deterministic_policy",M119="ya"),"PERIKSA: deterministic_policy tetapi LLM/ML ada dalam keputusan. ","")&amp;IF(AND(U119="ya",V119=""),"PERIKSA: adaptif=ya wajib ada kutipan. ","")&amp;IF(AND(R119="none",U119&lt;&gt;"n/a_tanpa_evaluasi",U119&lt;&gt;""),"PERIKSA: tanpa evaluasi, adaptif harus n/a. ","")&amp;IF(AND(OR(R119="author_run",R119="author_run+independent",R119="independent_only"),Q119=""),"PERIKSA: isi kelas_dievaluasi. ","")&amp;IF(AND(OR(R119="author_run",R119="author_run+independent",R119="independent_only"),W119=""),"PERIKSA: isi lokasi_bukti. ","")&amp;IF(AND(H119="tidak",R119&lt;&gt;""),"PERIKSA: tanpa teks lengkap, kosongkan kolom evaluasi. ",""))</f>
        <v/>
      </c>
      <c r="AC119" t="inlineStr">
        <is>
          <t>include</t>
        </is>
      </c>
    </row>
    <row r="120" ht="23.25" customHeight="1" s="21">
      <c r="A120" s="8" t="inlineStr">
        <is>
          <t>laxmipriya-2026-closed-world-resolution-tool-hallucination</t>
        </is>
      </c>
      <c r="B120" s="8" t="inlineStr">
        <is>
          <t>Closed-World Resolution Against Tool Hallucination in LLM Agents</t>
        </is>
      </c>
      <c r="C120" s="8" t="n">
        <v>2026</v>
      </c>
      <c r="D120" s="8" t="inlineStr">
        <is>
          <t>E2</t>
        </is>
      </c>
      <c r="E120" s="8" t="inlineStr">
        <is>
          <t>scan_cepat</t>
        </is>
      </c>
      <c r="F120" s="8" t="inlineStr">
        <is>
          <t>none</t>
        </is>
      </c>
      <c r="G120" s="9" t="inlineStr">
        <is>
          <t>https://arxiv.org/abs/2609.19425</t>
        </is>
      </c>
      <c r="H120" s="10" t="n"/>
      <c r="I120" s="10" t="inlineStr">
        <is>
          <t>benchmark_measurement</t>
        </is>
      </c>
      <c r="J120" s="10" t="n"/>
      <c r="K120" s="10" t="n"/>
      <c r="L120" s="10" t="n"/>
      <c r="M120" s="10" t="n"/>
      <c r="N120" s="10" t="n"/>
      <c r="O120" s="10" t="n"/>
      <c r="P120" s="10" t="n"/>
      <c r="Q120" s="10" t="n"/>
      <c r="R120" s="10" t="n"/>
      <c r="S120" s="10" t="n"/>
      <c r="T120" s="10" t="n"/>
      <c r="U120" s="10" t="n"/>
      <c r="V120" s="10" t="n"/>
      <c r="W120" s="10" t="n"/>
      <c r="X120" s="10" t="n"/>
      <c r="Y120" s="10" t="n"/>
      <c r="Z120" s="10" t="inlineStr">
        <is>
          <t>Studi pengukuran dan benchmark halusinasi tool (HTB) dengan Resolver Rung sebagai batas referensi.</t>
        </is>
      </c>
      <c r="AA120" s="11">
        <f>IF(I120="","",IF(OR(I120="attack",I120="survey_review",I120="benchmark_measurement",I120="position_other",I120="not_defense"),"n/a",IF(OR(X120="spec_normatif",X120="produksi_bukti_publik"),"L3",IF(ISNUMBER(SEARCH("independent",R120)),"L2",IF(R120="author_run","L1",IF(R120="none","L0",""))))))</f>
        <v/>
      </c>
      <c r="AB120" s="11">
        <f>IF(I120="","",IF(AND(K120="deterministic_policy",M120="ya"),"PERIKSA: deterministic_policy tetapi LLM/ML ada dalam keputusan. ","")&amp;IF(AND(U120="ya",V120=""),"PERIKSA: adaptif=ya wajib ada kutipan. ","")&amp;IF(AND(R120="none",U120&lt;&gt;"n/a_tanpa_evaluasi",U120&lt;&gt;""),"PERIKSA: tanpa evaluasi, adaptif harus n/a. ","")&amp;IF(AND(OR(R120="author_run",R120="author_run+independent",R120="independent_only"),Q120=""),"PERIKSA: isi kelas_dievaluasi. ","")&amp;IF(AND(OR(R120="author_run",R120="author_run+independent",R120="independent_only"),W120=""),"PERIKSA: isi lokasi_bukti. ","")&amp;IF(AND(H120="tidak",R120&lt;&gt;""),"PERIKSA: tanpa teks lengkap, kosongkan kolom evaluasi. ",""))</f>
        <v/>
      </c>
      <c r="AC120" t="inlineStr">
        <is>
          <t>include</t>
        </is>
      </c>
    </row>
    <row r="121" ht="23.25" customHeight="1" s="21">
      <c r="A121" s="8" t="inlineStr">
        <is>
          <t>liwei-2026-sharelock-stealthy-multi-tool-threshold</t>
        </is>
      </c>
      <c r="B121" s="8" t="inlineStr">
        <is>
          <t>ShareLock: A Stealthy Multi-Tool Threshold Poisoning Attack Against MCP</t>
        </is>
      </c>
      <c r="C121" s="8" t="n">
        <v>2026</v>
      </c>
      <c r="D121" s="8" t="inlineStr">
        <is>
          <t>E2</t>
        </is>
      </c>
      <c r="E121" s="8" t="inlineStr">
        <is>
          <t>scan_cepat</t>
        </is>
      </c>
      <c r="F121" s="8" t="inlineStr">
        <is>
          <t>none</t>
        </is>
      </c>
      <c r="G121" s="9" t="inlineStr">
        <is>
          <t>https://arxiv.org/abs/2606.27027</t>
        </is>
      </c>
      <c r="H121" s="10" t="n"/>
      <c r="I121" s="10" t="inlineStr">
        <is>
          <t>attack</t>
        </is>
      </c>
      <c r="J121" s="10" t="n"/>
      <c r="K121" s="10" t="n"/>
      <c r="L121" s="10" t="n"/>
      <c r="M121" s="10" t="n"/>
      <c r="N121" s="10" t="n"/>
      <c r="O121" s="10" t="n"/>
      <c r="P121" s="10" t="n"/>
      <c r="Q121" s="10" t="n"/>
      <c r="R121" s="10" t="n"/>
      <c r="S121" s="10" t="n"/>
      <c r="T121" s="10" t="n"/>
      <c r="U121" s="10" t="n"/>
      <c r="V121" s="10" t="n"/>
      <c r="W121" s="10" t="n"/>
      <c r="X121" s="10" t="n"/>
      <c r="Y121" s="10" t="n"/>
      <c r="Z121" s="10" t="inlineStr">
        <is>
          <t>Perancangan teknik serangan tool-poisoning multi-tool berbasis skema Shamir (ShareLock) pada MCP.</t>
        </is>
      </c>
      <c r="AA121" s="11">
        <f>IF(I121="","",IF(OR(I121="attack",I121="survey_review",I121="benchmark_measurement",I121="position_other",I121="not_defense"),"n/a",IF(OR(X121="spec_normatif",X121="produksi_bukti_publik"),"L3",IF(ISNUMBER(SEARCH("independent",R121)),"L2",IF(R121="author_run","L1",IF(R121="none","L0",""))))))</f>
        <v/>
      </c>
      <c r="AB121" s="11">
        <f>IF(I121="","",IF(AND(K121="deterministic_policy",M121="ya"),"PERIKSA: deterministic_policy tetapi LLM/ML ada dalam keputusan. ","")&amp;IF(AND(U121="ya",V121=""),"PERIKSA: adaptif=ya wajib ada kutipan. ","")&amp;IF(AND(R121="none",U121&lt;&gt;"n/a_tanpa_evaluasi",U121&lt;&gt;""),"PERIKSA: tanpa evaluasi, adaptif harus n/a. ","")&amp;IF(AND(OR(R121="author_run",R121="author_run+independent",R121="independent_only"),Q121=""),"PERIKSA: isi kelas_dievaluasi. ","")&amp;IF(AND(OR(R121="author_run",R121="author_run+independent",R121="independent_only"),W121=""),"PERIKSA: isi lokasi_bukti. ","")&amp;IF(AND(H121="tidak",R121&lt;&gt;""),"PERIKSA: tanpa teks lengkap, kosongkan kolom evaluasi. ",""))</f>
        <v/>
      </c>
      <c r="AC121" t="inlineStr">
        <is>
          <t>include</t>
        </is>
      </c>
    </row>
    <row r="122" ht="23.25" customHeight="1" s="21">
      <c r="A122" s="12" t="inlineStr">
        <is>
          <t>m-2026-model-context-protocol-servers-systematic</t>
        </is>
      </c>
      <c r="B122" s="12" t="inlineStr">
        <is>
          <t>Model Context Protocol Servers: A Systematic Review of Designs, Use Cases and Future Directions</t>
        </is>
      </c>
      <c r="C122" s="12" t="n">
        <v>2026</v>
      </c>
      <c r="D122" s="12" t="inlineStr">
        <is>
          <t>E2</t>
        </is>
      </c>
      <c r="E122" s="12" t="inlineStr">
        <is>
          <t>scan_cepat</t>
        </is>
      </c>
      <c r="F122" s="12" t="inlineStr">
        <is>
          <t>none</t>
        </is>
      </c>
      <c r="G122" s="13" t="inlineStr">
        <is>
          <t>https://doi.org/10.35444/ijana.2026.17605</t>
        </is>
      </c>
      <c r="H122" s="12" t="n"/>
      <c r="I122" s="12" t="inlineStr">
        <is>
          <t>survey_review</t>
        </is>
      </c>
      <c r="J122" s="12" t="n"/>
      <c r="K122" s="12" t="n"/>
      <c r="L122" s="12" t="n"/>
      <c r="M122" s="12" t="n"/>
      <c r="N122" s="12" t="n"/>
      <c r="O122" s="12" t="n"/>
      <c r="P122" s="12" t="n"/>
      <c r="Q122" s="12" t="n"/>
      <c r="R122" s="12" t="n"/>
      <c r="S122" s="12" t="n"/>
      <c r="T122" s="12" t="n"/>
      <c r="U122" s="12" t="n"/>
      <c r="V122" s="12" t="n"/>
      <c r="W122" s="12" t="n"/>
      <c r="X122" s="12" t="n"/>
      <c r="Y122" s="12" t="n"/>
      <c r="Z122" s="12" t="inlineStr">
        <is>
          <t>[AUDIT_v5_EXCLUDE: EC1] Dikeluarkan dari korpus MCP-spesifik oleh audit reviewer kedua v5. (dikeluarkan setelah audit reviewer kedua + rekonsiliasi) | Catatan lama: Tinjauan sistematis (SLR) arsitektur, pola desain, dan taksonomi komponen server MCP tanpa mitigasi baru.</t>
        </is>
      </c>
      <c r="AA122" s="12">
        <f>IF(I122="","",IF(OR(I122="attack",I122="survey_review",I122="benchmark_measurement",I122="position_other",I122="not_defense"),"n/a",IF(OR(X122="spec_normatif",X122="produksi_bukti_publik"),"L3",IF(ISNUMBER(SEARCH("independent",R122)),"L2",IF(R122="author_run","L1",IF(R122="none","L0",""))))))</f>
        <v/>
      </c>
      <c r="AB122" s="12">
        <f>IF(I122="","",IF(AND(K122="deterministic_policy",M122="ya"),"PERIKSA: deterministic_policy tetapi LLM/ML ada dalam keputusan. ","")&amp;IF(AND(U122="ya",V122=""),"PERIKSA: adaptif=ya wajib ada kutipan. ","")&amp;IF(AND(R122="none",U122&lt;&gt;"n/a_tanpa_evaluasi",U122&lt;&gt;""),"PERIKSA: tanpa evaluasi, adaptif harus n/a. ","")&amp;IF(AND(OR(R122="author_run",R122="author_run+independent",R122="independent_only"),Q122=""),"PERIKSA: isi kelas_dievaluasi. ","")&amp;IF(AND(OR(R122="author_run",R122="author_run+independent",R122="independent_only"),W122=""),"PERIKSA: isi lokasi_bukti. ","")&amp;IF(AND(H122="tidak",R122&lt;&gt;""),"PERIKSA: tanpa teks lengkap, kosongkan kolom evaluasi. ",""))</f>
        <v/>
      </c>
      <c r="AC122" s="14" t="inlineStr">
        <is>
          <t>exclude</t>
        </is>
      </c>
      <c r="AD122" s="14" t="inlineStr">
        <is>
          <t>EC1</t>
        </is>
      </c>
      <c r="AE122" s="14" t="inlineStr">
        <is>
          <t>dikeluarkan setelah audit reviewer kedua + rekonsiliasi</t>
        </is>
      </c>
    </row>
    <row r="123" ht="23.25" customHeight="1" s="21">
      <c r="A123" s="8" t="inlineStr">
        <is>
          <t>m-2026-trust-inversion-its-exploitation-threat</t>
        </is>
      </c>
      <c r="B123" s="8" t="inlineStr">
        <is>
          <t>Trust inversion and its exploitation: A threat model of the Model Context Protocol for agentic AI</t>
        </is>
      </c>
      <c r="C123" s="8" t="n">
        <v>2026</v>
      </c>
      <c r="D123" s="8" t="inlineStr">
        <is>
          <t>E1</t>
        </is>
      </c>
      <c r="E123" s="8" t="inlineStr">
        <is>
          <t>scan_cepat</t>
        </is>
      </c>
      <c r="F123" s="8" t="inlineStr">
        <is>
          <t>none</t>
        </is>
      </c>
      <c r="G123" s="9" t="inlineStr">
        <is>
          <t>https://doi.org/10.46481/jnsps.2026.3748</t>
        </is>
      </c>
      <c r="H123" s="10" t="n"/>
      <c r="I123" s="10" t="inlineStr">
        <is>
          <t>survey_review</t>
        </is>
      </c>
      <c r="J123" s="10" t="n"/>
      <c r="K123" s="10" t="n"/>
      <c r="L123" s="10" t="n"/>
      <c r="M123" s="10" t="n"/>
      <c r="N123" s="10" t="n"/>
      <c r="O123" s="10" t="n"/>
      <c r="P123" s="10" t="n"/>
      <c r="Q123" s="10" t="n"/>
      <c r="R123" s="10" t="n"/>
      <c r="S123" s="10" t="n"/>
      <c r="T123" s="10" t="n"/>
      <c r="U123" s="10" t="n"/>
      <c r="V123" s="10" t="n"/>
      <c r="W123" s="10" t="n"/>
      <c r="X123" s="10" t="n"/>
      <c r="Y123" s="10" t="n"/>
      <c r="Z123" s="10" t="inlineStr">
        <is>
          <t>Pemodelan ancaman arsitektural (threat model) trust inversion pada MCP dengan taksonomi STRIDE dan usulan kontrol konseptual.</t>
        </is>
      </c>
      <c r="AA123" s="11">
        <f>IF(I123="","",IF(OR(I123="attack",I123="survey_review",I123="benchmark_measurement",I123="position_other",I123="not_defense"),"n/a",IF(OR(X123="spec_normatif",X123="produksi_bukti_publik"),"L3",IF(ISNUMBER(SEARCH("independent",R123)),"L2",IF(R123="author_run","L1",IF(R123="none","L0",""))))))</f>
        <v/>
      </c>
      <c r="AB123" s="11">
        <f>IF(I123="","",IF(AND(K123="deterministic_policy",M123="ya"),"PERIKSA: deterministic_policy tetapi LLM/ML ada dalam keputusan. ","")&amp;IF(AND(U123="ya",V123=""),"PERIKSA: adaptif=ya wajib ada kutipan. ","")&amp;IF(AND(R123="none",U123&lt;&gt;"n/a_tanpa_evaluasi",U123&lt;&gt;""),"PERIKSA: tanpa evaluasi, adaptif harus n/a. ","")&amp;IF(AND(OR(R123="author_run",R123="author_run+independent",R123="independent_only"),Q123=""),"PERIKSA: isi kelas_dievaluasi. ","")&amp;IF(AND(OR(R123="author_run",R123="author_run+independent",R123="independent_only"),W123=""),"PERIKSA: isi lokasi_bukti. ","")&amp;IF(AND(H123="tidak",R123&lt;&gt;""),"PERIKSA: tanpa teks lengkap, kosongkan kolom evaluasi. ",""))</f>
        <v/>
      </c>
      <c r="AC123" t="inlineStr">
        <is>
          <t>include</t>
        </is>
      </c>
    </row>
    <row r="124" ht="23.25" customHeight="1" s="21">
      <c r="A124" s="12" t="inlineStr">
        <is>
          <t>maheshkumar-2026-model-context-protocol-mcp-standardizing</t>
        </is>
      </c>
      <c r="B124" s="12" t="inlineStr">
        <is>
          <t>The Model Context Protocol (MCP): Standardizing Agentic Interoperability</t>
        </is>
      </c>
      <c r="C124" s="12" t="n">
        <v>2026</v>
      </c>
      <c r="D124" s="12" t="inlineStr">
        <is>
          <t>E1</t>
        </is>
      </c>
      <c r="E124" s="12" t="inlineStr">
        <is>
          <t>scan_cepat</t>
        </is>
      </c>
      <c r="F124" s="12" t="inlineStr">
        <is>
          <t>none</t>
        </is>
      </c>
      <c r="G124" s="13" t="inlineStr">
        <is>
          <t>https://doi.org/10.52783/jisem.v11i1s.14215</t>
        </is>
      </c>
      <c r="H124" s="12" t="n"/>
      <c r="I124" s="12" t="inlineStr">
        <is>
          <t>position_other</t>
        </is>
      </c>
      <c r="J124" s="12" t="n"/>
      <c r="K124" s="12" t="n"/>
      <c r="L124" s="12" t="n"/>
      <c r="M124" s="12" t="n"/>
      <c r="N124" s="12" t="n"/>
      <c r="O124" s="12" t="n"/>
      <c r="P124" s="12" t="n"/>
      <c r="Q124" s="12" t="n"/>
      <c r="R124" s="12" t="n"/>
      <c r="S124" s="12" t="n"/>
      <c r="T124" s="12" t="n"/>
      <c r="U124" s="12" t="n"/>
      <c r="V124" s="12" t="n"/>
      <c r="W124" s="12" t="n"/>
      <c r="X124" s="12" t="n"/>
      <c r="Y124" s="12" t="n"/>
      <c r="Z124" s="12" t="inlineStr">
        <is>
          <t>[AUDIT_v5_EXCLUDE: EC1] Dikeluarkan dari korpus MCP-spesifik oleh audit reviewer kedua v5. (audit lanjutan; diterima koordinator) | Catatan lama: Makalah analisis konseptual dampak ekonomi dan arsitektur interoperabilitas MCP dengan tinjauan tata kelola keamanan.</t>
        </is>
      </c>
      <c r="AA124" s="12">
        <f>IF(I124="","",IF(OR(I124="attack",I124="survey_review",I124="benchmark_measurement",I124="position_other",I124="not_defense"),"n/a",IF(OR(X124="spec_normatif",X124="produksi_bukti_publik"),"L3",IF(ISNUMBER(SEARCH("independent",R124)),"L2",IF(R124="author_run","L1",IF(R124="none","L0",""))))))</f>
        <v/>
      </c>
      <c r="AB124" s="12">
        <f>IF(I124="","",IF(AND(K124="deterministic_policy",M124="ya"),"PERIKSA: deterministic_policy tetapi LLM/ML ada dalam keputusan. ","")&amp;IF(AND(U124="ya",V124=""),"PERIKSA: adaptif=ya wajib ada kutipan. ","")&amp;IF(AND(R124="none",U124&lt;&gt;"n/a_tanpa_evaluasi",U124&lt;&gt;""),"PERIKSA: tanpa evaluasi, adaptif harus n/a. ","")&amp;IF(AND(OR(R124="author_run",R124="author_run+independent",R124="independent_only"),Q124=""),"PERIKSA: isi kelas_dievaluasi. ","")&amp;IF(AND(OR(R124="author_run",R124="author_run+independent",R124="independent_only"),W124=""),"PERIKSA: isi lokasi_bukti. ","")&amp;IF(AND(H124="tidak",R124&lt;&gt;""),"PERIKSA: tanpa teks lengkap, kosongkan kolom evaluasi. ",""))</f>
        <v/>
      </c>
      <c r="AC124" s="14" t="inlineStr">
        <is>
          <t>exclude</t>
        </is>
      </c>
      <c r="AD124" s="14" t="inlineStr">
        <is>
          <t>EC1</t>
        </is>
      </c>
      <c r="AE124" s="14" t="inlineStr">
        <is>
          <t>audit lanjutan; diterima koordinator</t>
        </is>
      </c>
    </row>
    <row r="125" ht="23.25" customHeight="1" s="21">
      <c r="A125" s="8" t="inlineStr">
        <is>
          <t>manideep-2026-enterprise-identity-integration-ai-assisted</t>
        </is>
      </c>
      <c r="B125" s="8" t="inlineStr">
        <is>
          <t>Enterprise Identity Integration for AI-Assisted Developer Services: Architecture, Implementation, and Case Study</t>
        </is>
      </c>
      <c r="C125" s="8" t="n">
        <v>2026</v>
      </c>
      <c r="D125" s="8" t="inlineStr">
        <is>
          <t>E2</t>
        </is>
      </c>
      <c r="E125" s="8" t="inlineStr">
        <is>
          <t>scan_cepat</t>
        </is>
      </c>
      <c r="F125" s="8" t="inlineStr">
        <is>
          <t>none</t>
        </is>
      </c>
      <c r="G125" s="9" t="inlineStr">
        <is>
          <t>https://arxiv.org/abs/2601.02698</t>
        </is>
      </c>
      <c r="H125" s="10" t="inlineStr">
        <is>
          <t>ya</t>
        </is>
      </c>
      <c r="I125" s="10" t="inlineStr">
        <is>
          <t>proposal_only</t>
        </is>
      </c>
      <c r="J125" s="10" t="inlineStr">
        <is>
          <t>Enterprise MCP OIDC/OAuth Architecture</t>
        </is>
      </c>
      <c r="K125" s="10" t="inlineStr">
        <is>
          <t>deterministic_policy</t>
        </is>
      </c>
      <c r="L125" s="10" t="inlineStr">
        <is>
          <t>Arsitektur integrasi identitas enterprise berbasis OAuth 2.0/OIDC (PKCE dan JWKS) untuk memetakan otorisasi least-privilege pada pemanggilan tool MCP di IDE.</t>
        </is>
      </c>
      <c r="M125" s="10" t="inlineStr">
        <is>
          <t>tidak</t>
        </is>
      </c>
      <c r="N125" s="10" t="inlineStr">
        <is>
          <t>gateway_proxy</t>
        </is>
      </c>
      <c r="O125" s="10" t="inlineStr">
        <is>
          <t>R1;R3;R4</t>
        </is>
      </c>
      <c r="P125" s="10" t="inlineStr">
        <is>
          <t>C1;C3</t>
        </is>
      </c>
      <c r="Q125" s="10" t="n"/>
      <c r="R125" s="10" t="inlineStr">
        <is>
          <t>none</t>
        </is>
      </c>
      <c r="S125" s="10" t="n"/>
      <c r="T125" s="10" t="inlineStr">
        <is>
          <t>none</t>
        </is>
      </c>
      <c r="U125" s="10" t="inlineStr">
        <is>
          <t>n/a_tanpa_evaluasi</t>
        </is>
      </c>
      <c r="V125" s="10" t="n"/>
      <c r="W125" s="10" t="inlineStr">
        <is>
          <t>Sec. 5, hal. 8-10</t>
        </is>
      </c>
      <c r="X125" s="10" t="inlineStr">
        <is>
          <t>none</t>
        </is>
      </c>
      <c r="Y125" s="10" t="inlineStr">
        <is>
          <t>dilaporkan: latensi validasi token JWKS 25-35 ms (Sec. 5.3)</t>
        </is>
      </c>
      <c r="Z125" s="10" t="inlineStr">
        <is>
          <t>Pola arsitektur integrasi OAuth 2.0/OIDC enterprise untuk server MCP dengan studi kasus implementasi VS Code dan Keycloak tanpa evaluasi dataset serangan empiris (L0). Catatan deployment: prototipe internal/eksperimental (belum dirilis secara publik).</t>
        </is>
      </c>
      <c r="AA125" s="11">
        <f>IF(I125="","",IF(OR(I125="attack",I125="survey_review",I125="benchmark_measurement",I125="position_other",I125="not_defense"),"n/a",IF(OR(X125="spec_normatif",X125="produksi_bukti_publik"),"L3",IF(ISNUMBER(SEARCH("independent",R125)),"L2",IF(R125="author_run","L1",IF(R125="none","L0",""))))))</f>
        <v/>
      </c>
      <c r="AB125" s="11">
        <f>IF(I125="","",IF(AND(K125="deterministic_policy",M125="ya"),"PERIKSA: deterministic_policy tetapi LLM/ML ada dalam keputusan. ","")&amp;IF(AND(U125="ya",V125=""),"PERIKSA: adaptif=ya wajib ada kutipan. ","")&amp;IF(AND(R125="none",U125&lt;&gt;"n/a_tanpa_evaluasi",U125&lt;&gt;""),"PERIKSA: tanpa evaluasi, adaptif harus n/a. ","")&amp;IF(AND(OR(R125="author_run",R125="author_run+independent",R125="independent_only"),Q125=""),"PERIKSA: isi kelas_dievaluasi. ","")&amp;IF(AND(OR(R125="author_run",R125="author_run+independent",R125="independent_only"),W125=""),"PERIKSA: isi lokasi_bukti. ","")&amp;IF(AND(H125="tidak",R125&lt;&gt;""),"PERIKSA: tanpa teks lengkap, kosongkan kolom evaluasi. ",""))</f>
        <v/>
      </c>
      <c r="AC125" t="inlineStr">
        <is>
          <t>include</t>
        </is>
      </c>
    </row>
    <row r="126" ht="23.25" customHeight="1" s="21">
      <c r="A126" s="8" t="inlineStr">
        <is>
          <t>mina-2026-real-faults-model-context-protocol</t>
        </is>
      </c>
      <c r="B126" s="8" t="inlineStr">
        <is>
          <t>Real Faults in Model Context Protocol (MCP) Software: a Comprehensive Taxonomy</t>
        </is>
      </c>
      <c r="C126" s="8" t="n">
        <v>2026</v>
      </c>
      <c r="D126" s="8" t="inlineStr">
        <is>
          <t>E2</t>
        </is>
      </c>
      <c r="E126" s="8" t="inlineStr">
        <is>
          <t>scan_cepat</t>
        </is>
      </c>
      <c r="F126" s="8" t="inlineStr">
        <is>
          <t>none</t>
        </is>
      </c>
      <c r="G126" s="9" t="inlineStr">
        <is>
          <t>https://arxiv.org/abs/2603.05637</t>
        </is>
      </c>
      <c r="H126" s="10" t="n"/>
      <c r="I126" s="10" t="inlineStr">
        <is>
          <t>survey_review</t>
        </is>
      </c>
      <c r="J126" s="10" t="n"/>
      <c r="K126" s="10" t="n"/>
      <c r="L126" s="10" t="n"/>
      <c r="M126" s="10" t="n"/>
      <c r="N126" s="10" t="n"/>
      <c r="O126" s="10" t="n"/>
      <c r="P126" s="10" t="n"/>
      <c r="Q126" s="10" t="n"/>
      <c r="R126" s="10" t="n"/>
      <c r="S126" s="10" t="n"/>
      <c r="T126" s="10" t="n"/>
      <c r="U126" s="10" t="n"/>
      <c r="V126" s="10" t="n"/>
      <c r="W126" s="10" t="n"/>
      <c r="X126" s="10" t="n"/>
      <c r="Y126" s="10" t="n"/>
      <c r="Z126" s="10" t="inlineStr">
        <is>
          <t>Taksonomi empiris mengenai kategori kegagalan (faults) pada perangkat lunak server MCP yang divalidasi melalui survei praktisi.</t>
        </is>
      </c>
      <c r="AA126" s="11">
        <f>IF(I126="","",IF(OR(I126="attack",I126="survey_review",I126="benchmark_measurement",I126="position_other",I126="not_defense"),"n/a",IF(OR(X126="spec_normatif",X126="produksi_bukti_publik"),"L3",IF(ISNUMBER(SEARCH("independent",R126)),"L2",IF(R126="author_run","L1",IF(R126="none","L0",""))))))</f>
        <v/>
      </c>
      <c r="AB126" s="11">
        <f>IF(I126="","",IF(AND(K126="deterministic_policy",M126="ya"),"PERIKSA: deterministic_policy tetapi LLM/ML ada dalam keputusan. ","")&amp;IF(AND(U126="ya",V126=""),"PERIKSA: adaptif=ya wajib ada kutipan. ","")&amp;IF(AND(R126="none",U126&lt;&gt;"n/a_tanpa_evaluasi",U126&lt;&gt;""),"PERIKSA: tanpa evaluasi, adaptif harus n/a. ","")&amp;IF(AND(OR(R126="author_run",R126="author_run+independent",R126="independent_only"),Q126=""),"PERIKSA: isi kelas_dievaluasi. ","")&amp;IF(AND(OR(R126="author_run",R126="author_run+independent",R126="independent_only"),W126=""),"PERIKSA: isi lokasi_bukti. ","")&amp;IF(AND(H126="tidak",R126&lt;&gt;""),"PERIKSA: tanpa teks lengkap, kosongkan kolom evaluasi. ",""))</f>
        <v/>
      </c>
      <c r="AC126" t="inlineStr">
        <is>
          <t>include</t>
        </is>
      </c>
    </row>
    <row r="127" ht="23.25" customHeight="1" s="21">
      <c r="A127" s="12" t="inlineStr">
        <is>
          <t>misha-2026-contextnest-verifiable-context-governance-autonomous</t>
        </is>
      </c>
      <c r="B127" s="12" t="inlineStr">
        <is>
          <t>ContextNest: Verifiable Context Governance for Autonomous AI Agent</t>
        </is>
      </c>
      <c r="C127" s="12" t="n">
        <v>2026</v>
      </c>
      <c r="D127" s="12" t="inlineStr">
        <is>
          <t>E2</t>
        </is>
      </c>
      <c r="E127" s="12" t="inlineStr">
        <is>
          <t>scan_cepat</t>
        </is>
      </c>
      <c r="F127" s="12" t="inlineStr">
        <is>
          <t>none</t>
        </is>
      </c>
      <c r="G127" s="13" t="inlineStr">
        <is>
          <t>https://arxiv.org/abs/2607.02116</t>
        </is>
      </c>
      <c r="H127" s="12" t="n"/>
      <c r="I127" s="12" t="inlineStr">
        <is>
          <t>not_defense</t>
        </is>
      </c>
      <c r="J127" s="12" t="n"/>
      <c r="K127" s="12" t="n"/>
      <c r="L127" s="12" t="n"/>
      <c r="M127" s="12" t="n"/>
      <c r="N127" s="12" t="n"/>
      <c r="O127" s="12" t="n"/>
      <c r="P127" s="12" t="n"/>
      <c r="Q127" s="12" t="n"/>
      <c r="R127" s="12" t="n"/>
      <c r="S127" s="12" t="n"/>
      <c r="T127" s="12" t="n"/>
      <c r="U127" s="12" t="n"/>
      <c r="V127" s="12" t="n"/>
      <c r="W127" s="12" t="n"/>
      <c r="X127" s="12" t="n"/>
      <c r="Y127" s="12" t="n"/>
      <c r="Z127" s="12" t="inlineStr">
        <is>
          <t>[AUDIT_v5_EXCLUDE: EC2] Dikeluarkan dari korpus MCP-spesifik oleh audit reviewer kedua v5. (dikeluarkan setelah audit reviewer kedua + rekonsiliasi) | Catatan lama: Uji integritas penyuapan konteks RAG konvensional; MCP hanya sebagai tool wrapper untuk interoperabilitas -&gt; not_defense.</t>
        </is>
      </c>
      <c r="AA127" s="12">
        <f>IF(I127="","",IF(OR(I127="attack",I127="survey_review",I127="benchmark_measurement",I127="position_other",I127="not_defense"),"n/a",IF(OR(X127="spec_normatif",X127="produksi_bukti_publik"),"L3",IF(ISNUMBER(SEARCH("independent",R127)),"L2",IF(R127="author_run","L1",IF(R127="none","L0",""))))))</f>
        <v/>
      </c>
      <c r="AB127" s="12">
        <f>IF(I127="","",IF(AND(K127="deterministic_policy",M127="ya"),"PERIKSA: deterministic_policy tetapi LLM/ML ada dalam keputusan. ","")&amp;IF(AND(U127="ya",V127=""),"PERIKSA: adaptif=ya wajib ada kutipan. ","")&amp;IF(AND(R127="none",U127&lt;&gt;"n/a_tanpa_evaluasi",U127&lt;&gt;""),"PERIKSA: tanpa evaluasi, adaptif harus n/a. ","")&amp;IF(AND(OR(R127="author_run",R127="author_run+independent",R127="independent_only"),Q127=""),"PERIKSA: isi kelas_dievaluasi. ","")&amp;IF(AND(OR(R127="author_run",R127="author_run+independent",R127="independent_only"),W127=""),"PERIKSA: isi lokasi_bukti. ","")&amp;IF(AND(H127="tidak",R127&lt;&gt;""),"PERIKSA: tanpa teks lengkap, kosongkan kolom evaluasi. ",""))</f>
        <v/>
      </c>
      <c r="AC127" s="14" t="inlineStr">
        <is>
          <t>exclude</t>
        </is>
      </c>
      <c r="AD127" s="14" t="inlineStr">
        <is>
          <t>EC2</t>
        </is>
      </c>
      <c r="AE127" s="14" t="inlineStr">
        <is>
          <t>dikeluarkan setelah audit reviewer kedua + rekonsiliasi</t>
        </is>
      </c>
    </row>
    <row r="128" ht="23.25" customHeight="1" s="21">
      <c r="A128" s="8" t="inlineStr">
        <is>
          <t>mohammad-2026-formal-security-framework-model-context</t>
        </is>
      </c>
      <c r="B128" s="8" t="inlineStr">
        <is>
          <t>A Formal Security Framework for Model Context Protocol-Based Tool Access inAgentic AI Systems</t>
        </is>
      </c>
      <c r="C128" s="8" t="n">
        <v>2026</v>
      </c>
      <c r="D128" s="8" t="inlineStr">
        <is>
          <t>E2</t>
        </is>
      </c>
      <c r="E128" s="8" t="inlineStr">
        <is>
          <t>scan_cepat</t>
        </is>
      </c>
      <c r="F128" s="8" t="inlineStr">
        <is>
          <t>none</t>
        </is>
      </c>
      <c r="G128" s="9" t="inlineStr">
        <is>
          <t>https://doi.org/10.2139/ssrn.6891368</t>
        </is>
      </c>
      <c r="H128" s="10" t="inlineStr">
        <is>
          <t>ya</t>
        </is>
      </c>
      <c r="I128" s="10" t="inlineStr">
        <is>
          <t>defense_primary</t>
        </is>
      </c>
      <c r="J128" s="10" t="inlineStr">
        <is>
          <t>FSM-MCP</t>
        </is>
      </c>
      <c r="K128" s="10" t="inlineStr">
        <is>
          <t>deterministic_policy</t>
        </is>
      </c>
      <c r="L128" s="10" t="inlineStr">
        <is>
          <t>FSM-MCP memodelkan interaksi klien-server MCP sebagai mesin keadaan hingga dengan empat mekanisme penegakan: signed manifests, capability-scoped tokens, context sanitization, dan message authentication.</t>
        </is>
      </c>
      <c r="M128" s="10" t="inlineStr">
        <is>
          <t>tidak</t>
        </is>
      </c>
      <c r="N128" s="10" t="inlineStr">
        <is>
          <t>gateway_proxy</t>
        </is>
      </c>
      <c r="O128" s="10" t="inlineStr">
        <is>
          <t>R1;R2;R3;R4;R7</t>
        </is>
      </c>
      <c r="P128" s="10" t="inlineStr">
        <is>
          <t>A1;A2;C1;C3;D3</t>
        </is>
      </c>
      <c r="Q128" s="10" t="inlineStr">
        <is>
          <t>A2;C1;C3</t>
        </is>
      </c>
      <c r="R128" s="10" t="inlineStr">
        <is>
          <t>author_run</t>
        </is>
      </c>
      <c r="S128" s="10" t="n"/>
      <c r="T128" s="10" t="inlineStr">
        <is>
          <t>authors_own</t>
        </is>
      </c>
      <c r="U128" s="10" t="inlineStr">
        <is>
          <t>tidak</t>
        </is>
      </c>
      <c r="V128" s="10" t="n"/>
      <c r="W128" s="10" t="inlineStr">
        <is>
          <t>Sec. 5, simulasi 3.000 jejak</t>
        </is>
      </c>
      <c r="X128" s="10" t="inlineStr">
        <is>
          <t>none</t>
        </is>
      </c>
      <c r="Y128" s="10" t="inlineStr">
        <is>
          <t>not_reported</t>
        </is>
      </c>
      <c r="Z128" s="10" t="inlineStr">
        <is>
          <t>Kerangka formal FSM-MCP dengan 4 mekanisme penegakan yang dievaluasi penulis melalui 3.000 jejak simulasi. Penulis menyatakan ketahanan adaptif belum dievaluasi.</t>
        </is>
      </c>
      <c r="AA128" s="11">
        <f>IF(I128="","",IF(OR(I128="attack",I128="survey_review",I128="benchmark_measurement",I128="position_other",I128="not_defense"),"n/a",IF(OR(X128="spec_normatif",X128="produksi_bukti_publik"),"L3",IF(ISNUMBER(SEARCH("independent",R128)),"L2",IF(R128="author_run","L1",IF(R128="none","L0",""))))))</f>
        <v/>
      </c>
      <c r="AB128" s="11">
        <f>IF(I128="","",IF(AND(K128="deterministic_policy",M128="ya"),"PERIKSA: deterministic_policy tetapi LLM/ML ada dalam keputusan. ","")&amp;IF(AND(U128="ya",V128=""),"PERIKSA: adaptif=ya wajib ada kutipan. ","")&amp;IF(AND(R128="none",U128&lt;&gt;"n/a_tanpa_evaluasi",U128&lt;&gt;""),"PERIKSA: tanpa evaluasi, adaptif harus n/a. ","")&amp;IF(AND(OR(R128="author_run",R128="author_run+independent",R128="independent_only"),Q128=""),"PERIKSA: isi kelas_dievaluasi. ","")&amp;IF(AND(OR(R128="author_run",R128="author_run+independent",R128="independent_only"),W128=""),"PERIKSA: isi lokasi_bukti. ","")&amp;IF(AND(H128="tidak",R128&lt;&gt;""),"PERIKSA: tanpa teks lengkap, kosongkan kolom evaluasi. ",""))</f>
        <v/>
      </c>
      <c r="AC128" t="inlineStr">
        <is>
          <t>include</t>
        </is>
      </c>
    </row>
    <row r="129" ht="45.75" customHeight="1" s="21">
      <c r="A129" s="8" t="inlineStr">
        <is>
          <t>mohammadreza-2026-unicode-tag-block-concealment-tool</t>
        </is>
      </c>
      <c r="B129" s="8" t="inlineStr">
        <is>
          <t>Unicode TAG-Block Concealment of Tool-Metadata Payloads in the Model Context Protocol: An Approval-View Fidelity Gap Across Three Independent Server Implementations</t>
        </is>
      </c>
      <c r="C129" s="8" t="n">
        <v>2026</v>
      </c>
      <c r="D129" s="8" t="inlineStr">
        <is>
          <t>E2</t>
        </is>
      </c>
      <c r="E129" s="8" t="inlineStr">
        <is>
          <t>scan_cepat</t>
        </is>
      </c>
      <c r="F129" s="8" t="inlineStr">
        <is>
          <t>none</t>
        </is>
      </c>
      <c r="G129" s="9" t="inlineStr">
        <is>
          <t>https://arxiv.org/abs/2607.05744</t>
        </is>
      </c>
      <c r="H129" s="10" t="n"/>
      <c r="I129" s="10" t="inlineStr">
        <is>
          <t>attack</t>
        </is>
      </c>
      <c r="J129" s="10" t="n"/>
      <c r="K129" s="10" t="n"/>
      <c r="L129" s="10" t="n"/>
      <c r="M129" s="10" t="n"/>
      <c r="N129" s="10" t="n"/>
      <c r="O129" s="10" t="n"/>
      <c r="P129" s="10" t="n"/>
      <c r="Q129" s="10" t="n"/>
      <c r="R129" s="10" t="n"/>
      <c r="S129" s="10" t="n"/>
      <c r="T129" s="10" t="n"/>
      <c r="U129" s="10" t="n"/>
      <c r="V129" s="10" t="n"/>
      <c r="W129" s="10" t="n"/>
      <c r="X129" s="10" t="n"/>
      <c r="Y129" s="10" t="n"/>
      <c r="Z129" s="10" t="inlineStr">
        <is>
          <t>Perancangan teknik eksploitasi penyembunyian payload metadata tool menggunakan blok Unicode TAG pada MCP tanpa mitigasi baru.</t>
        </is>
      </c>
      <c r="AA129" s="11">
        <f>IF(I129="","",IF(OR(I129="attack",I129="survey_review",I129="benchmark_measurement",I129="position_other",I129="not_defense"),"n/a",IF(OR(X129="spec_normatif",X129="produksi_bukti_publik"),"L3",IF(ISNUMBER(SEARCH("independent",R129)),"L2",IF(R129="author_run","L1",IF(R129="none","L0",""))))))</f>
        <v/>
      </c>
      <c r="AB129" s="11">
        <f>IF(I129="","",IF(AND(K129="deterministic_policy",M129="ya"),"PERIKSA: deterministic_policy tetapi LLM/ML ada dalam keputusan. ","")&amp;IF(AND(U129="ya",V129=""),"PERIKSA: adaptif=ya wajib ada kutipan. ","")&amp;IF(AND(R129="none",U129&lt;&gt;"n/a_tanpa_evaluasi",U129&lt;&gt;""),"PERIKSA: tanpa evaluasi, adaptif harus n/a. ","")&amp;IF(AND(OR(R129="author_run",R129="author_run+independent",R129="independent_only"),Q129=""),"PERIKSA: isi kelas_dievaluasi. ","")&amp;IF(AND(OR(R129="author_run",R129="author_run+independent",R129="independent_only"),W129=""),"PERIKSA: isi lokasi_bukti. ","")&amp;IF(AND(H129="tidak",R129&lt;&gt;""),"PERIKSA: tanpa teks lengkap, kosongkan kolom evaluasi. ",""))</f>
        <v/>
      </c>
      <c r="AC129" t="inlineStr">
        <is>
          <t>include</t>
        </is>
      </c>
    </row>
    <row r="130" ht="23.25" customHeight="1" s="21">
      <c r="A130" s="8" t="inlineStr">
        <is>
          <t>mohammed-2025-model-context-protocol-mcp-first</t>
        </is>
      </c>
      <c r="B130" s="8" t="inlineStr">
        <is>
          <t>Model Context Protocol (MCP) at First Glance: Studying the Security and Maintainability of MCP Servers</t>
        </is>
      </c>
      <c r="C130" s="8" t="n">
        <v>2025</v>
      </c>
      <c r="D130" s="8" t="inlineStr">
        <is>
          <t>E1</t>
        </is>
      </c>
      <c r="E130" s="8" t="inlineStr">
        <is>
          <t>scan_cepat</t>
        </is>
      </c>
      <c r="F130" s="8" t="inlineStr">
        <is>
          <t>none</t>
        </is>
      </c>
      <c r="G130" s="9" t="inlineStr">
        <is>
          <t>https://arxiv.org/abs/2506.13538</t>
        </is>
      </c>
      <c r="H130" s="10" t="n"/>
      <c r="I130" s="10" t="inlineStr">
        <is>
          <t>benchmark_measurement</t>
        </is>
      </c>
      <c r="J130" s="10" t="n"/>
      <c r="K130" s="10" t="n"/>
      <c r="L130" s="10" t="n"/>
      <c r="M130" s="10" t="n"/>
      <c r="N130" s="10" t="n"/>
      <c r="O130" s="10" t="n"/>
      <c r="P130" s="10" t="n"/>
      <c r="Q130" s="10" t="n"/>
      <c r="R130" s="10" t="n"/>
      <c r="S130" s="10" t="n"/>
      <c r="T130" s="10" t="n"/>
      <c r="U130" s="10" t="n"/>
      <c r="V130" s="10" t="n"/>
      <c r="W130" s="10" t="n"/>
      <c r="X130" s="10" t="n"/>
      <c r="Y130" s="10" t="n"/>
      <c r="Z130" s="10" t="inlineStr">
        <is>
          <t>Studi pengukuran empiris ekosistem skala besar terhadap 1.899 server MCP untuk menilai keamanan dan keterpeliharaan kode.</t>
        </is>
      </c>
      <c r="AA130" s="11">
        <f>IF(I130="","",IF(OR(I130="attack",I130="survey_review",I130="benchmark_measurement",I130="position_other",I130="not_defense"),"n/a",IF(OR(X130="spec_normatif",X130="produksi_bukti_publik"),"L3",IF(ISNUMBER(SEARCH("independent",R130)),"L2",IF(R130="author_run","L1",IF(R130="none","L0",""))))))</f>
        <v/>
      </c>
      <c r="AB130" s="11">
        <f>IF(I130="","",IF(AND(K130="deterministic_policy",M130="ya"),"PERIKSA: deterministic_policy tetapi LLM/ML ada dalam keputusan. ","")&amp;IF(AND(U130="ya",V130=""),"PERIKSA: adaptif=ya wajib ada kutipan. ","")&amp;IF(AND(R130="none",U130&lt;&gt;"n/a_tanpa_evaluasi",U130&lt;&gt;""),"PERIKSA: tanpa evaluasi, adaptif harus n/a. ","")&amp;IF(AND(OR(R130="author_run",R130="author_run+independent",R130="independent_only"),Q130=""),"PERIKSA: isi kelas_dievaluasi. ","")&amp;IF(AND(OR(R130="author_run",R130="author_run+independent",R130="independent_only"),W130=""),"PERIKSA: isi lokasi_bukti. ","")&amp;IF(AND(H130="tidak",R130&lt;&gt;""),"PERIKSA: tanpa teks lengkap, kosongkan kolom evaluasi. ",""))</f>
        <v/>
      </c>
      <c r="AC130" t="inlineStr">
        <is>
          <t>include</t>
        </is>
      </c>
    </row>
    <row r="131" ht="34.5" customHeight="1" s="21">
      <c r="A131" s="8" t="inlineStr">
        <is>
          <t>muhammad-2026-characterizing-network-centralization-observability-remote</t>
        </is>
      </c>
      <c r="B131" s="8" t="inlineStr">
        <is>
          <t>Characterizing Network Centralization and Observability in the Remote MCP Ecosystem</t>
        </is>
      </c>
      <c r="C131" s="8" t="n">
        <v>2026</v>
      </c>
      <c r="D131" s="8" t="inlineStr">
        <is>
          <t>E2</t>
        </is>
      </c>
      <c r="E131" s="8" t="inlineStr">
        <is>
          <t>scan_cepat</t>
        </is>
      </c>
      <c r="F131" s="8" t="inlineStr">
        <is>
          <t>none</t>
        </is>
      </c>
      <c r="G131" s="9" t="inlineStr">
        <is>
          <t>https://arxiv.org/abs/2609.19100</t>
        </is>
      </c>
      <c r="H131" s="10" t="n"/>
      <c r="I131" s="10" t="inlineStr">
        <is>
          <t>benchmark_measurement</t>
        </is>
      </c>
      <c r="J131" s="10" t="n"/>
      <c r="K131" s="10" t="n"/>
      <c r="L131" s="10" t="n"/>
      <c r="M131" s="10" t="n"/>
      <c r="N131" s="10" t="n"/>
      <c r="O131" s="10" t="n"/>
      <c r="P131" s="10" t="n"/>
      <c r="Q131" s="10" t="n"/>
      <c r="R131" s="10" t="n"/>
      <c r="S131" s="10" t="n"/>
      <c r="T131" s="10" t="n"/>
      <c r="U131" s="10" t="n"/>
      <c r="V131" s="10" t="n"/>
      <c r="W131" s="10" t="n"/>
      <c r="X131" s="10" t="n"/>
      <c r="Y131" s="10" t="n"/>
      <c r="Z131" s="10" t="inlineStr">
        <is>
          <t>Studi pengukuran empiris sentralisasi jaringan dan keteramatan (observability) pada ekosistem server MCP remote.</t>
        </is>
      </c>
      <c r="AA131" s="11">
        <f>IF(I131="","",IF(OR(I131="attack",I131="survey_review",I131="benchmark_measurement",I131="position_other",I131="not_defense"),"n/a",IF(OR(X131="spec_normatif",X131="produksi_bukti_publik"),"L3",IF(ISNUMBER(SEARCH("independent",R131)),"L2",IF(R131="author_run","L1",IF(R131="none","L0",""))))))</f>
        <v/>
      </c>
      <c r="AB131" s="11">
        <f>IF(I131="","",IF(AND(K131="deterministic_policy",M131="ya"),"PERIKSA: deterministic_policy tetapi LLM/ML ada dalam keputusan. ","")&amp;IF(AND(U131="ya",V131=""),"PERIKSA: adaptif=ya wajib ada kutipan. ","")&amp;IF(AND(R131="none",U131&lt;&gt;"n/a_tanpa_evaluasi",U131&lt;&gt;""),"PERIKSA: tanpa evaluasi, adaptif harus n/a. ","")&amp;IF(AND(OR(R131="author_run",R131="author_run+independent",R131="independent_only"),Q131=""),"PERIKSA: isi kelas_dievaluasi. ","")&amp;IF(AND(OR(R131="author_run",R131="author_run+independent",R131="independent_only"),W131=""),"PERIKSA: isi lokasi_bukti. ","")&amp;IF(AND(H131="tidak",R131&lt;&gt;""),"PERIKSA: tanpa teks lengkap, kosongkan kolom evaluasi. ",""))</f>
        <v/>
      </c>
      <c r="AC131" t="inlineStr">
        <is>
          <t>include</t>
        </is>
      </c>
    </row>
    <row r="132" ht="23.25" customHeight="1" s="21">
      <c r="A132" s="8" t="inlineStr">
        <is>
          <t>muhammad-2026-when-agents-look-like-beacons</t>
        </is>
      </c>
      <c r="B132" s="8" t="inlineStr">
        <is>
          <t>When Agents Look Like Beacons: NIDS Evasion by Model Context Protocol Traffic</t>
        </is>
      </c>
      <c r="C132" s="8" t="n">
        <v>2026</v>
      </c>
      <c r="D132" s="8" t="inlineStr">
        <is>
          <t>E2</t>
        </is>
      </c>
      <c r="E132" s="8" t="inlineStr">
        <is>
          <t>scan_cepat</t>
        </is>
      </c>
      <c r="F132" s="8" t="inlineStr">
        <is>
          <t>none</t>
        </is>
      </c>
      <c r="G132" s="9" t="inlineStr">
        <is>
          <t>https://arxiv.org/abs/2609.19091</t>
        </is>
      </c>
      <c r="H132" s="10" t="n"/>
      <c r="I132" s="10" t="inlineStr">
        <is>
          <t>attack</t>
        </is>
      </c>
      <c r="J132" s="10" t="n"/>
      <c r="K132" s="10" t="n"/>
      <c r="L132" s="10" t="n"/>
      <c r="M132" s="10" t="n"/>
      <c r="N132" s="10" t="n"/>
      <c r="O132" s="10" t="n"/>
      <c r="P132" s="10" t="n"/>
      <c r="Q132" s="10" t="n"/>
      <c r="R132" s="10" t="n"/>
      <c r="S132" s="10" t="n"/>
      <c r="T132" s="10" t="n"/>
      <c r="U132" s="10" t="n"/>
      <c r="V132" s="10" t="n"/>
      <c r="W132" s="10" t="n"/>
      <c r="X132" s="10" t="n"/>
      <c r="Y132" s="10" t="n"/>
      <c r="Z132" s="10" t="inlineStr">
        <is>
          <t>Studi penghindaran deteksi NIDS (evasion) oleh pola lalu lintas MCP dengan usulan spesifikasi header standar tanpa implementasi pertahanan.</t>
        </is>
      </c>
      <c r="AA132" s="11">
        <f>IF(I132="","",IF(OR(I132="attack",I132="survey_review",I132="benchmark_measurement",I132="position_other",I132="not_defense"),"n/a",IF(OR(X132="spec_normatif",X132="produksi_bukti_publik"),"L3",IF(ISNUMBER(SEARCH("independent",R132)),"L2",IF(R132="author_run","L1",IF(R132="none","L0",""))))))</f>
        <v/>
      </c>
      <c r="AB132" s="11">
        <f>IF(I132="","",IF(AND(K132="deterministic_policy",M132="ya"),"PERIKSA: deterministic_policy tetapi LLM/ML ada dalam keputusan. ","")&amp;IF(AND(U132="ya",V132=""),"PERIKSA: adaptif=ya wajib ada kutipan. ","")&amp;IF(AND(R132="none",U132&lt;&gt;"n/a_tanpa_evaluasi",U132&lt;&gt;""),"PERIKSA: tanpa evaluasi, adaptif harus n/a. ","")&amp;IF(AND(OR(R132="author_run",R132="author_run+independent",R132="independent_only"),Q132=""),"PERIKSA: isi kelas_dievaluasi. ","")&amp;IF(AND(OR(R132="author_run",R132="author_run+independent",R132="independent_only"),W132=""),"PERIKSA: isi lokasi_bukti. ","")&amp;IF(AND(H132="tidak",R132&lt;&gt;""),"PERIKSA: tanpa teks lengkap, kosongkan kolom evaluasi. ",""))</f>
        <v/>
      </c>
      <c r="AC132" t="inlineStr">
        <is>
          <t>include</t>
        </is>
      </c>
    </row>
    <row r="133" ht="23.25" customHeight="1" s="21">
      <c r="A133" s="8" t="inlineStr">
        <is>
          <t>murali-2026-measuring-exploiting-implicit-trust-llm</t>
        </is>
      </c>
      <c r="B133" s="8" t="inlineStr">
        <is>
          <t>Measuring and Exploiting Implicit Trust in LLM Tool-Calling Pipelines</t>
        </is>
      </c>
      <c r="C133" s="8" t="n">
        <v>2026</v>
      </c>
      <c r="D133" s="8" t="inlineStr">
        <is>
          <t>E2</t>
        </is>
      </c>
      <c r="E133" s="8" t="inlineStr">
        <is>
          <t>scan_cepat</t>
        </is>
      </c>
      <c r="F133" s="8" t="inlineStr">
        <is>
          <t>none</t>
        </is>
      </c>
      <c r="G133" s="9" t="inlineStr">
        <is>
          <t>https://arxiv.org/abs/2609.18217</t>
        </is>
      </c>
      <c r="H133" s="10" t="n"/>
      <c r="I133" s="10" t="inlineStr">
        <is>
          <t>attack</t>
        </is>
      </c>
      <c r="J133" s="10" t="n"/>
      <c r="K133" s="10" t="n"/>
      <c r="L133" s="10" t="n"/>
      <c r="M133" s="10" t="n"/>
      <c r="N133" s="10" t="n"/>
      <c r="O133" s="10" t="n"/>
      <c r="P133" s="10" t="n"/>
      <c r="Q133" s="10" t="n"/>
      <c r="R133" s="10" t="n"/>
      <c r="S133" s="10" t="n"/>
      <c r="T133" s="10" t="n"/>
      <c r="U133" s="10" t="n"/>
      <c r="V133" s="10" t="n"/>
      <c r="W133" s="10" t="n"/>
      <c r="X133" s="10" t="n"/>
      <c r="Y133" s="10" t="n"/>
      <c r="Z133" s="10" t="inlineStr">
        <is>
          <t>Pengembangan teknik serangan fragmentasi lintas-kanal (cross-channel fragmentation attack) pada saluran MCP tanpa mitigasi baru.</t>
        </is>
      </c>
      <c r="AA133" s="11">
        <f>IF(I133="","",IF(OR(I133="attack",I133="survey_review",I133="benchmark_measurement",I133="position_other",I133="not_defense"),"n/a",IF(OR(X133="spec_normatif",X133="produksi_bukti_publik"),"L3",IF(ISNUMBER(SEARCH("independent",R133)),"L2",IF(R133="author_run","L1",IF(R133="none","L0",""))))))</f>
        <v/>
      </c>
      <c r="AB133" s="11">
        <f>IF(I133="","",IF(AND(K133="deterministic_policy",M133="ya"),"PERIKSA: deterministic_policy tetapi LLM/ML ada dalam keputusan. ","")&amp;IF(AND(U133="ya",V133=""),"PERIKSA: adaptif=ya wajib ada kutipan. ","")&amp;IF(AND(R133="none",U133&lt;&gt;"n/a_tanpa_evaluasi",U133&lt;&gt;""),"PERIKSA: tanpa evaluasi, adaptif harus n/a. ","")&amp;IF(AND(OR(R133="author_run",R133="author_run+independent",R133="independent_only"),Q133=""),"PERIKSA: isi kelas_dievaluasi. ","")&amp;IF(AND(OR(R133="author_run",R133="author_run+independent",R133="independent_only"),W133=""),"PERIKSA: isi lokasi_bukti. ","")&amp;IF(AND(H133="tidak",R133&lt;&gt;""),"PERIKSA: tanpa teks lengkap, kosongkan kolom evaluasi. ",""))</f>
        <v/>
      </c>
      <c r="AC133" t="inlineStr">
        <is>
          <t>include</t>
        </is>
      </c>
    </row>
    <row r="134" ht="23.25" customHeight="1" s="21">
      <c r="A134" s="8" t="inlineStr">
        <is>
          <t>nanzi-2026-compatibility-cost-systematic-discovery-exploitation</t>
        </is>
      </c>
      <c r="B134" s="8" t="inlineStr">
        <is>
          <t>Compatibility at a Cost: Systematic Discovery and Exploitation of MCP Clause-Compliance Vulnerabilities</t>
        </is>
      </c>
      <c r="C134" s="8" t="n">
        <v>2026</v>
      </c>
      <c r="D134" s="8" t="inlineStr">
        <is>
          <t>E2</t>
        </is>
      </c>
      <c r="E134" s="8" t="inlineStr">
        <is>
          <t>scan_cepat</t>
        </is>
      </c>
      <c r="F134" s="8" t="inlineStr">
        <is>
          <t>none</t>
        </is>
      </c>
      <c r="G134" s="9" t="inlineStr">
        <is>
          <t>https://arxiv.org/abs/2603.10163</t>
        </is>
      </c>
      <c r="H134" s="10" t="n"/>
      <c r="I134" s="10" t="inlineStr">
        <is>
          <t>attack</t>
        </is>
      </c>
      <c r="J134" s="10" t="n"/>
      <c r="K134" s="10" t="n"/>
      <c r="L134" s="10" t="n"/>
      <c r="M134" s="10" t="n"/>
      <c r="N134" s="10" t="n"/>
      <c r="O134" s="10" t="n"/>
      <c r="P134" s="10" t="n"/>
      <c r="Q134" s="10" t="n"/>
      <c r="R134" s="10" t="n"/>
      <c r="S134" s="10" t="n"/>
      <c r="T134" s="10" t="n"/>
      <c r="U134" s="10" t="n"/>
      <c r="V134" s="10" t="n"/>
      <c r="W134" s="10" t="n"/>
      <c r="X134" s="10" t="n"/>
      <c r="Y134" s="10" t="n"/>
      <c r="Z134" s="10" t="inlineStr">
        <is>
          <t>Kerangka kerja penemuan dan eksploitasi kerentanan ketidakpatuhan klausa spesifikasi pada SDK MCP (compatibility-abusing attacks).</t>
        </is>
      </c>
      <c r="AA134" s="11">
        <f>IF(I134="","",IF(OR(I134="attack",I134="survey_review",I134="benchmark_measurement",I134="position_other",I134="not_defense"),"n/a",IF(OR(X134="spec_normatif",X134="produksi_bukti_publik"),"L3",IF(ISNUMBER(SEARCH("independent",R134)),"L2",IF(R134="author_run","L1",IF(R134="none","L0",""))))))</f>
        <v/>
      </c>
      <c r="AB134" s="11">
        <f>IF(I134="","",IF(AND(K134="deterministic_policy",M134="ya"),"PERIKSA: deterministic_policy tetapi LLM/ML ada dalam keputusan. ","")&amp;IF(AND(U134="ya",V134=""),"PERIKSA: adaptif=ya wajib ada kutipan. ","")&amp;IF(AND(R134="none",U134&lt;&gt;"n/a_tanpa_evaluasi",U134&lt;&gt;""),"PERIKSA: tanpa evaluasi, adaptif harus n/a. ","")&amp;IF(AND(OR(R134="author_run",R134="author_run+independent",R134="independent_only"),Q134=""),"PERIKSA: isi kelas_dievaluasi. ","")&amp;IF(AND(OR(R134="author_run",R134="author_run+independent",R134="independent_only"),W134=""),"PERIKSA: isi lokasi_bukti. ","")&amp;IF(AND(H134="tidak",R134&lt;&gt;""),"PERIKSA: tanpa teks lengkap, kosongkan kolom evaluasi. ",""))</f>
        <v/>
      </c>
      <c r="AC134" t="inlineStr">
        <is>
          <t>include</t>
        </is>
      </c>
    </row>
    <row r="135" ht="34.5" customHeight="1" s="21">
      <c r="A135" s="12" t="inlineStr">
        <is>
          <t>narek-2026-prompt-injection-attacks-agentic-coding</t>
        </is>
      </c>
      <c r="B135" s="12" t="inlineStr">
        <is>
          <t>Prompt Injection Attacks on Agentic Coding Assistants: A Systematic Analysis of Vulnerabilities in Skills, Tools, and Protocol Ecosystems</t>
        </is>
      </c>
      <c r="C135" s="12" t="n">
        <v>2026</v>
      </c>
      <c r="D135" s="12" t="inlineStr">
        <is>
          <t>E2</t>
        </is>
      </c>
      <c r="E135" s="12" t="inlineStr">
        <is>
          <t>scan_cepat</t>
        </is>
      </c>
      <c r="F135" s="12" t="inlineStr">
        <is>
          <t>none</t>
        </is>
      </c>
      <c r="G135" s="13" t="inlineStr">
        <is>
          <t>https://arxiv.org/abs/2601.17548</t>
        </is>
      </c>
      <c r="H135" s="12" t="n"/>
      <c r="I135" s="12" t="inlineStr">
        <is>
          <t>survey_review</t>
        </is>
      </c>
      <c r="J135" s="12" t="n"/>
      <c r="K135" s="12" t="n"/>
      <c r="L135" s="12" t="n"/>
      <c r="M135" s="12" t="n"/>
      <c r="N135" s="12" t="n"/>
      <c r="O135" s="12" t="n"/>
      <c r="P135" s="12" t="n"/>
      <c r="Q135" s="12" t="n"/>
      <c r="R135" s="12" t="n"/>
      <c r="S135" s="12" t="n"/>
      <c r="T135" s="12" t="n"/>
      <c r="U135" s="12" t="n"/>
      <c r="V135" s="12" t="n"/>
      <c r="W135" s="12" t="n"/>
      <c r="X135" s="12" t="n"/>
      <c r="Y135" s="12" t="n"/>
      <c r="Z135" s="12" t="inlineStr">
        <is>
          <t>[AUDIT_v5_EXCLUDE: EC2] Dikeluarkan dari korpus MCP-spesifik oleh audit reviewer kedua v5. (audit lanjutan; diterima koordinator) | Catatan lama: Makalah telaah sistematis / Systematization of Knowledge (SoK) dan taksonomi mengenai serangan prompt injection pada asisten koding berbasis MCP.</t>
        </is>
      </c>
      <c r="AA135" s="12">
        <f>IF(I135="","",IF(OR(I135="attack",I135="survey_review",I135="benchmark_measurement",I135="position_other",I135="not_defense"),"n/a",IF(OR(X135="spec_normatif",X135="produksi_bukti_publik"),"L3",IF(ISNUMBER(SEARCH("independent",R135)),"L2",IF(R135="author_run","L1",IF(R135="none","L0",""))))))</f>
        <v/>
      </c>
      <c r="AB135" s="12">
        <f>IF(I135="","",IF(AND(K135="deterministic_policy",M135="ya"),"PERIKSA: deterministic_policy tetapi LLM/ML ada dalam keputusan. ","")&amp;IF(AND(U135="ya",V135=""),"PERIKSA: adaptif=ya wajib ada kutipan. ","")&amp;IF(AND(R135="none",U135&lt;&gt;"n/a_tanpa_evaluasi",U135&lt;&gt;""),"PERIKSA: tanpa evaluasi, adaptif harus n/a. ","")&amp;IF(AND(OR(R135="author_run",R135="author_run+independent",R135="independent_only"),Q135=""),"PERIKSA: isi kelas_dievaluasi. ","")&amp;IF(AND(OR(R135="author_run",R135="author_run+independent",R135="independent_only"),W135=""),"PERIKSA: isi lokasi_bukti. ","")&amp;IF(AND(H135="tidak",R135&lt;&gt;""),"PERIKSA: tanpa teks lengkap, kosongkan kolom evaluasi. ",""))</f>
        <v/>
      </c>
      <c r="AC135" s="14" t="inlineStr">
        <is>
          <t>exclude</t>
        </is>
      </c>
      <c r="AD135" s="14" t="inlineStr">
        <is>
          <t>EC2</t>
        </is>
      </c>
      <c r="AE135" s="14" t="inlineStr">
        <is>
          <t>audit lanjutan; diterima koordinator</t>
        </is>
      </c>
    </row>
    <row r="136" ht="23.25" customHeight="1" s="21">
      <c r="A136" s="8" t="inlineStr">
        <is>
          <t>nicol-2026-exposed-design-dynamic-security-assessment</t>
        </is>
      </c>
      <c r="B136" s="8" t="inlineStr">
        <is>
          <t>Exposed by Design: A Dynamic Security Assessment of Internet-Facing MCP Servers at Scale</t>
        </is>
      </c>
      <c r="C136" s="8" t="n">
        <v>2026</v>
      </c>
      <c r="D136" s="8" t="inlineStr">
        <is>
          <t>E2</t>
        </is>
      </c>
      <c r="E136" s="8" t="inlineStr">
        <is>
          <t>scan_cepat</t>
        </is>
      </c>
      <c r="F136" s="8" t="inlineStr">
        <is>
          <t>none</t>
        </is>
      </c>
      <c r="G136" s="9" t="inlineStr">
        <is>
          <t>https://arxiv.org/abs/2608.00150</t>
        </is>
      </c>
      <c r="H136" s="10" t="n"/>
      <c r="I136" s="10" t="inlineStr">
        <is>
          <t>benchmark_measurement</t>
        </is>
      </c>
      <c r="J136" s="10" t="n"/>
      <c r="K136" s="10" t="n"/>
      <c r="L136" s="10" t="n"/>
      <c r="M136" s="10" t="n"/>
      <c r="N136" s="10" t="n"/>
      <c r="O136" s="10" t="n"/>
      <c r="P136" s="10" t="n"/>
      <c r="Q136" s="10" t="n"/>
      <c r="R136" s="10" t="n"/>
      <c r="S136" s="10" t="n"/>
      <c r="T136" s="10" t="n"/>
      <c r="U136" s="10" t="n"/>
      <c r="V136" s="10" t="n"/>
      <c r="W136" s="10" t="n"/>
      <c r="X136" s="10" t="n"/>
      <c r="Y136" s="10" t="n"/>
      <c r="Z136" s="10" t="inlineStr">
        <is>
          <t>Studi asesmen keamanan dinamis skala besar terhadap server MCP yang terekspos internet menggunakan framework Corvus.</t>
        </is>
      </c>
      <c r="AA136" s="11">
        <f>IF(I136="","",IF(OR(I136="attack",I136="survey_review",I136="benchmark_measurement",I136="position_other",I136="not_defense"),"n/a",IF(OR(X136="spec_normatif",X136="produksi_bukti_publik"),"L3",IF(ISNUMBER(SEARCH("independent",R136)),"L2",IF(R136="author_run","L1",IF(R136="none","L0",""))))))</f>
        <v/>
      </c>
      <c r="AB136" s="11">
        <f>IF(I136="","",IF(AND(K136="deterministic_policy",M136="ya"),"PERIKSA: deterministic_policy tetapi LLM/ML ada dalam keputusan. ","")&amp;IF(AND(U136="ya",V136=""),"PERIKSA: adaptif=ya wajib ada kutipan. ","")&amp;IF(AND(R136="none",U136&lt;&gt;"n/a_tanpa_evaluasi",U136&lt;&gt;""),"PERIKSA: tanpa evaluasi, adaptif harus n/a. ","")&amp;IF(AND(OR(R136="author_run",R136="author_run+independent",R136="independent_only"),Q136=""),"PERIKSA: isi kelas_dievaluasi. ","")&amp;IF(AND(OR(R136="author_run",R136="author_run+independent",R136="independent_only"),W136=""),"PERIKSA: isi lokasi_bukti. ","")&amp;IF(AND(H136="tidak",R136&lt;&gt;""),"PERIKSA: tanpa teks lengkap, kosongkan kolom evaluasi. ",""))</f>
        <v/>
      </c>
      <c r="AC136" t="inlineStr">
        <is>
          <t>include</t>
        </is>
      </c>
    </row>
    <row r="137" ht="23.25" customHeight="1" s="21">
      <c r="A137" s="8" t="inlineStr">
        <is>
          <t>nicola-2025-trivial-trojans-how-minimal-mcp</t>
        </is>
      </c>
      <c r="B137" s="8" t="inlineStr">
        <is>
          <t>Trivial Trojans: How Minimal MCP Servers Enable Cross-Tool Exfiltration of Sensitive Data</t>
        </is>
      </c>
      <c r="C137" s="8" t="n">
        <v>2025</v>
      </c>
      <c r="D137" s="8" t="inlineStr">
        <is>
          <t>E2</t>
        </is>
      </c>
      <c r="E137" s="8" t="inlineStr">
        <is>
          <t>scan_cepat</t>
        </is>
      </c>
      <c r="F137" s="8" t="inlineStr">
        <is>
          <t>none</t>
        </is>
      </c>
      <c r="G137" s="9" t="inlineStr">
        <is>
          <t>https://arxiv.org/abs/2507.19880</t>
        </is>
      </c>
      <c r="H137" s="10" t="n"/>
      <c r="I137" s="10" t="inlineStr">
        <is>
          <t>attack</t>
        </is>
      </c>
      <c r="J137" s="10" t="n"/>
      <c r="K137" s="10" t="n"/>
      <c r="L137" s="10" t="n"/>
      <c r="M137" s="10" t="n"/>
      <c r="N137" s="10" t="n"/>
      <c r="O137" s="10" t="n"/>
      <c r="P137" s="10" t="n"/>
      <c r="Q137" s="10" t="n"/>
      <c r="R137" s="10" t="n"/>
      <c r="S137" s="10" t="n"/>
      <c r="T137" s="10" t="n"/>
      <c r="U137" s="10" t="n"/>
      <c r="V137" s="10" t="n"/>
      <c r="W137" s="10" t="n"/>
      <c r="X137" s="10" t="n"/>
      <c r="Y137" s="10" t="n"/>
      <c r="Z137" s="10" t="inlineStr">
        <is>
          <t>Pembuktian konsep (PoC) serangan eksfiltrasi data lintas-tool menggunakan server MCP berbahaya minimal tanpa implementasi pertahanan.</t>
        </is>
      </c>
      <c r="AA137" s="11">
        <f>IF(I137="","",IF(OR(I137="attack",I137="survey_review",I137="benchmark_measurement",I137="position_other",I137="not_defense"),"n/a",IF(OR(X137="spec_normatif",X137="produksi_bukti_publik"),"L3",IF(ISNUMBER(SEARCH("independent",R137)),"L2",IF(R137="author_run","L1",IF(R137="none","L0",""))))))</f>
        <v/>
      </c>
      <c r="AB137" s="11">
        <f>IF(I137="","",IF(AND(K137="deterministic_policy",M137="ya"),"PERIKSA: deterministic_policy tetapi LLM/ML ada dalam keputusan. ","")&amp;IF(AND(U137="ya",V137=""),"PERIKSA: adaptif=ya wajib ada kutipan. ","")&amp;IF(AND(R137="none",U137&lt;&gt;"n/a_tanpa_evaluasi",U137&lt;&gt;""),"PERIKSA: tanpa evaluasi, adaptif harus n/a. ","")&amp;IF(AND(OR(R137="author_run",R137="author_run+independent",R137="independent_only"),Q137=""),"PERIKSA: isi kelas_dievaluasi. ","")&amp;IF(AND(OR(R137="author_run",R137="author_run+independent",R137="independent_only"),W137=""),"PERIKSA: isi lokasi_bukti. ","")&amp;IF(AND(H137="tidak",R137&lt;&gt;""),"PERIKSA: tanpa teks lengkap, kosongkan kolom evaluasi. ",""))</f>
        <v/>
      </c>
      <c r="AC137" t="inlineStr">
        <is>
          <t>include</t>
        </is>
      </c>
    </row>
    <row r="138" ht="23.25" customHeight="1" s="21">
      <c r="A138" s="8" t="inlineStr">
        <is>
          <t>nvd-2025-vulnerability-disclosure-cve-2025-47274</t>
        </is>
      </c>
      <c r="B138" s="8" t="inlineStr">
        <is>
          <t>Vulnerability Disclosure: CVE-2025-47274</t>
        </is>
      </c>
      <c r="C138" s="8" t="n">
        <v>2025</v>
      </c>
      <c r="D138" s="8" t="inlineStr">
        <is>
          <t>E4</t>
        </is>
      </c>
      <c r="E138" s="8" t="inlineStr">
        <is>
          <t>scan_cepat</t>
        </is>
      </c>
      <c r="F138" s="8" t="inlineStr">
        <is>
          <t>none</t>
        </is>
      </c>
      <c r="G138" s="8" t="n"/>
      <c r="H138" s="10" t="n"/>
      <c r="I138" s="10" t="inlineStr">
        <is>
          <t>not_defense</t>
        </is>
      </c>
      <c r="J138" s="10" t="n"/>
      <c r="K138" s="10" t="n"/>
      <c r="L138" s="10" t="n"/>
      <c r="M138" s="10" t="n"/>
      <c r="N138" s="10" t="n"/>
      <c r="O138" s="10" t="n"/>
      <c r="P138" s="10" t="n"/>
      <c r="Q138" s="10" t="n"/>
      <c r="R138" s="10" t="n"/>
      <c r="S138" s="10" t="n"/>
      <c r="T138" s="10" t="n"/>
      <c r="U138" s="10" t="n"/>
      <c r="V138" s="10" t="n"/>
      <c r="W138" s="10" t="n"/>
      <c r="X138" s="10" t="n"/>
      <c r="Y138" s="10" t="n"/>
      <c r="Z138" s="10" t="inlineStr">
        <is>
          <t>Pengungkapan kerentanan resmi (CVE advisory) pada utilitas ToolHive, bukan makalah penelitian pertahanan MCP.</t>
        </is>
      </c>
      <c r="AA138" s="11">
        <f>IF(I138="","",IF(OR(I138="attack",I138="survey_review",I138="benchmark_measurement",I138="position_other",I138="not_defense"),"n/a",IF(OR(X138="spec_normatif",X138="produksi_bukti_publik"),"L3",IF(ISNUMBER(SEARCH("independent",R138)),"L2",IF(R138="author_run","L1",IF(R138="none","L0",""))))))</f>
        <v/>
      </c>
      <c r="AB138" s="11">
        <f>IF(I138="","",IF(AND(K138="deterministic_policy",M138="ya"),"PERIKSA: deterministic_policy tetapi LLM/ML ada dalam keputusan. ","")&amp;IF(AND(U138="ya",V138=""),"PERIKSA: adaptif=ya wajib ada kutipan. ","")&amp;IF(AND(R138="none",U138&lt;&gt;"n/a_tanpa_evaluasi",U138&lt;&gt;""),"PERIKSA: tanpa evaluasi, adaptif harus n/a. ","")&amp;IF(AND(OR(R138="author_run",R138="author_run+independent",R138="independent_only"),Q138=""),"PERIKSA: isi kelas_dievaluasi. ","")&amp;IF(AND(OR(R138="author_run",R138="author_run+independent",R138="independent_only"),W138=""),"PERIKSA: isi lokasi_bukti. ","")&amp;IF(AND(H138="tidak",R138&lt;&gt;""),"PERIKSA: tanpa teks lengkap, kosongkan kolom evaluasi. ",""))</f>
        <v/>
      </c>
      <c r="AC138" t="inlineStr">
        <is>
          <t>include</t>
        </is>
      </c>
    </row>
    <row r="139" ht="23.25" customHeight="1" s="21">
      <c r="A139" s="8" t="inlineStr">
        <is>
          <t>nvd-2025-vulnerability-disclosure-cve-2025-53109</t>
        </is>
      </c>
      <c r="B139" s="8" t="inlineStr">
        <is>
          <t>Vulnerability Disclosure: CVE-2025-53109</t>
        </is>
      </c>
      <c r="C139" s="8" t="n">
        <v>2025</v>
      </c>
      <c r="D139" s="8" t="inlineStr">
        <is>
          <t>E4</t>
        </is>
      </c>
      <c r="E139" s="8" t="inlineStr">
        <is>
          <t>scan_cepat</t>
        </is>
      </c>
      <c r="F139" s="8" t="inlineStr">
        <is>
          <t>none</t>
        </is>
      </c>
      <c r="G139" s="8" t="n"/>
      <c r="H139" s="10" t="n"/>
      <c r="I139" s="10" t="inlineStr">
        <is>
          <t>not_defense</t>
        </is>
      </c>
      <c r="J139" s="10" t="n"/>
      <c r="K139" s="10" t="n"/>
      <c r="L139" s="10" t="n"/>
      <c r="M139" s="10" t="n"/>
      <c r="N139" s="10" t="n"/>
      <c r="O139" s="10" t="n"/>
      <c r="P139" s="10" t="n"/>
      <c r="Q139" s="10" t="n"/>
      <c r="R139" s="10" t="n"/>
      <c r="S139" s="10" t="n"/>
      <c r="T139" s="10" t="n"/>
      <c r="U139" s="10" t="n"/>
      <c r="V139" s="10" t="n"/>
      <c r="W139" s="10" t="n"/>
      <c r="X139" s="10" t="n"/>
      <c r="Y139" s="10" t="n"/>
      <c r="Z139" s="10" t="inlineStr">
        <is>
          <t>Pengungkapan kerentanan resmi (CVE advisory) pada server Filesystem MCP, bukan makalah penelitian pertahanan MCP.</t>
        </is>
      </c>
      <c r="AA139" s="11">
        <f>IF(I139="","",IF(OR(I139="attack",I139="survey_review",I139="benchmark_measurement",I139="position_other",I139="not_defense"),"n/a",IF(OR(X139="spec_normatif",X139="produksi_bukti_publik"),"L3",IF(ISNUMBER(SEARCH("independent",R139)),"L2",IF(R139="author_run","L1",IF(R139="none","L0",""))))))</f>
        <v/>
      </c>
      <c r="AB139" s="11">
        <f>IF(I139="","",IF(AND(K139="deterministic_policy",M139="ya"),"PERIKSA: deterministic_policy tetapi LLM/ML ada dalam keputusan. ","")&amp;IF(AND(U139="ya",V139=""),"PERIKSA: adaptif=ya wajib ada kutipan. ","")&amp;IF(AND(R139="none",U139&lt;&gt;"n/a_tanpa_evaluasi",U139&lt;&gt;""),"PERIKSA: tanpa evaluasi, adaptif harus n/a. ","")&amp;IF(AND(OR(R139="author_run",R139="author_run+independent",R139="independent_only"),Q139=""),"PERIKSA: isi kelas_dievaluasi. ","")&amp;IF(AND(OR(R139="author_run",R139="author_run+independent",R139="independent_only"),W139=""),"PERIKSA: isi lokasi_bukti. ","")&amp;IF(AND(H139="tidak",R139&lt;&gt;""),"PERIKSA: tanpa teks lengkap, kosongkan kolom evaluasi. ",""))</f>
        <v/>
      </c>
      <c r="AC139" t="inlineStr">
        <is>
          <t>include</t>
        </is>
      </c>
    </row>
    <row r="140" ht="23.25" customHeight="1" s="21">
      <c r="A140" s="8" t="inlineStr">
        <is>
          <t>nvd-2026-vulnerability-disclosure-cve-2026-35568</t>
        </is>
      </c>
      <c r="B140" s="8" t="inlineStr">
        <is>
          <t>Vulnerability Disclosure: CVE-2026-35568</t>
        </is>
      </c>
      <c r="C140" s="8" t="n">
        <v>2026</v>
      </c>
      <c r="D140" s="8" t="inlineStr">
        <is>
          <t>E4</t>
        </is>
      </c>
      <c r="E140" s="8" t="inlineStr">
        <is>
          <t>scan_cepat</t>
        </is>
      </c>
      <c r="F140" s="8" t="inlineStr">
        <is>
          <t>none</t>
        </is>
      </c>
      <c r="G140" s="8" t="n"/>
      <c r="H140" s="10" t="n"/>
      <c r="I140" s="10" t="inlineStr">
        <is>
          <t>not_defense</t>
        </is>
      </c>
      <c r="J140" s="10" t="n"/>
      <c r="K140" s="10" t="n"/>
      <c r="L140" s="10" t="n"/>
      <c r="M140" s="10" t="n"/>
      <c r="N140" s="10" t="n"/>
      <c r="O140" s="10" t="n"/>
      <c r="P140" s="10" t="n"/>
      <c r="Q140" s="10" t="n"/>
      <c r="R140" s="10" t="n"/>
      <c r="S140" s="10" t="n"/>
      <c r="T140" s="10" t="n"/>
      <c r="U140" s="10" t="n"/>
      <c r="V140" s="10" t="n"/>
      <c r="W140" s="10" t="n"/>
      <c r="X140" s="10" t="n"/>
      <c r="Y140" s="10" t="n"/>
      <c r="Z140" s="10" t="inlineStr">
        <is>
          <t>Pengungkapan kerentanan resmi (CVE advisory) mengenai DNS rebinding pada Java SDK MCP, bukan makalah penelitian pertahanan MCP.</t>
        </is>
      </c>
      <c r="AA140" s="11">
        <f>IF(I140="","",IF(OR(I140="attack",I140="survey_review",I140="benchmark_measurement",I140="position_other",I140="not_defense"),"n/a",IF(OR(X140="spec_normatif",X140="produksi_bukti_publik"),"L3",IF(ISNUMBER(SEARCH("independent",R140)),"L2",IF(R140="author_run","L1",IF(R140="none","L0",""))))))</f>
        <v/>
      </c>
      <c r="AB140" s="11">
        <f>IF(I140="","",IF(AND(K140="deterministic_policy",M140="ya"),"PERIKSA: deterministic_policy tetapi LLM/ML ada dalam keputusan. ","")&amp;IF(AND(U140="ya",V140=""),"PERIKSA: adaptif=ya wajib ada kutipan. ","")&amp;IF(AND(R140="none",U140&lt;&gt;"n/a_tanpa_evaluasi",U140&lt;&gt;""),"PERIKSA: tanpa evaluasi, adaptif harus n/a. ","")&amp;IF(AND(OR(R140="author_run",R140="author_run+independent",R140="independent_only"),Q140=""),"PERIKSA: isi kelas_dievaluasi. ","")&amp;IF(AND(OR(R140="author_run",R140="author_run+independent",R140="independent_only"),W140=""),"PERIKSA: isi lokasi_bukti. ","")&amp;IF(AND(H140="tidak",R140&lt;&gt;""),"PERIKSA: tanpa teks lengkap, kosongkan kolom evaluasi. ",""))</f>
        <v/>
      </c>
      <c r="AC140" t="inlineStr">
        <is>
          <t>include</t>
        </is>
      </c>
    </row>
    <row r="141" ht="23.25" customHeight="1" s="21">
      <c r="A141" s="8" t="inlineStr">
        <is>
          <t>obada-2026-same-name-different-server-security</t>
        </is>
      </c>
      <c r="B141" s="8" t="inlineStr">
        <is>
          <t>Same Name, Different Server: A Security Census of Silent Drift in the Model Context Protocol Ecosystem</t>
        </is>
      </c>
      <c r="C141" s="8" t="n">
        <v>2026</v>
      </c>
      <c r="D141" s="8" t="inlineStr">
        <is>
          <t>E2</t>
        </is>
      </c>
      <c r="E141" s="8" t="inlineStr">
        <is>
          <t>scan_cepat</t>
        </is>
      </c>
      <c r="F141" s="8" t="inlineStr">
        <is>
          <t>none</t>
        </is>
      </c>
      <c r="G141" s="9" t="inlineStr">
        <is>
          <t>https://arxiv.org/abs/2609.14119</t>
        </is>
      </c>
      <c r="H141" s="10" t="n"/>
      <c r="I141" s="10" t="inlineStr">
        <is>
          <t>benchmark_measurement</t>
        </is>
      </c>
      <c r="J141" s="10" t="n"/>
      <c r="K141" s="10" t="n"/>
      <c r="L141" s="10" t="n"/>
      <c r="M141" s="10" t="n"/>
      <c r="N141" s="10" t="n"/>
      <c r="O141" s="10" t="n"/>
      <c r="P141" s="10" t="n"/>
      <c r="Q141" s="10" t="n"/>
      <c r="R141" s="10" t="n"/>
      <c r="S141" s="10" t="n"/>
      <c r="T141" s="10" t="n"/>
      <c r="U141" s="10" t="n"/>
      <c r="V141" s="10" t="n"/>
      <c r="W141" s="10" t="n"/>
      <c r="X141" s="10" t="n"/>
      <c r="Y141" s="10" t="n"/>
      <c r="Z141" s="10" t="inlineStr">
        <is>
          <t>Sensus keamanan ekosistem skala besar yang mengukur prevalensi pergeseran diam-diam (silent drift) pada registri MCP.</t>
        </is>
      </c>
      <c r="AA141" s="11">
        <f>IF(I141="","",IF(OR(I141="attack",I141="survey_review",I141="benchmark_measurement",I141="position_other",I141="not_defense"),"n/a",IF(OR(X141="spec_normatif",X141="produksi_bukti_publik"),"L3",IF(ISNUMBER(SEARCH("independent",R141)),"L2",IF(R141="author_run","L1",IF(R141="none","L0",""))))))</f>
        <v/>
      </c>
      <c r="AB141" s="11">
        <f>IF(I141="","",IF(AND(K141="deterministic_policy",M141="ya"),"PERIKSA: deterministic_policy tetapi LLM/ML ada dalam keputusan. ","")&amp;IF(AND(U141="ya",V141=""),"PERIKSA: adaptif=ya wajib ada kutipan. ","")&amp;IF(AND(R141="none",U141&lt;&gt;"n/a_tanpa_evaluasi",U141&lt;&gt;""),"PERIKSA: tanpa evaluasi, adaptif harus n/a. ","")&amp;IF(AND(OR(R141="author_run",R141="author_run+independent",R141="independent_only"),Q141=""),"PERIKSA: isi kelas_dievaluasi. ","")&amp;IF(AND(OR(R141="author_run",R141="author_run+independent",R141="independent_only"),W141=""),"PERIKSA: isi lokasi_bukti. ","")&amp;IF(AND(H141="tidak",R141&lt;&gt;""),"PERIKSA: tanpa teks lengkap, kosongkan kolom evaluasi. ",""))</f>
        <v/>
      </c>
      <c r="AC141" t="inlineStr">
        <is>
          <t>include</t>
        </is>
      </c>
    </row>
    <row r="142" ht="34.5" customHeight="1" s="21">
      <c r="A142" s="8" t="inlineStr">
        <is>
          <t>om-2026-chainwatch-kill-chain-aligned-sequential</t>
        </is>
      </c>
      <c r="B142" s="8" t="inlineStr">
        <is>
          <t>ChainWatch: A Kill Chain-Aligned Sequential Detection Framework for Multi-Step Attacks in MCP-Based AI Agent Systems</t>
        </is>
      </c>
      <c r="C142" s="8" t="n">
        <v>2026</v>
      </c>
      <c r="D142" s="8" t="inlineStr">
        <is>
          <t>E2</t>
        </is>
      </c>
      <c r="E142" s="8" t="inlineStr">
        <is>
          <t>scan_cepat</t>
        </is>
      </c>
      <c r="F142" s="8" t="inlineStr">
        <is>
          <t>none</t>
        </is>
      </c>
      <c r="G142" s="9" t="inlineStr">
        <is>
          <t>https://arxiv.org/abs/2607.19432</t>
        </is>
      </c>
      <c r="H142" s="10" t="inlineStr">
        <is>
          <t>ya</t>
        </is>
      </c>
      <c r="I142" s="10" t="inlineStr">
        <is>
          <t>defense_primary</t>
        </is>
      </c>
      <c r="J142" s="10" t="inlineStr">
        <is>
          <t>ChainWatch</t>
        </is>
      </c>
      <c r="K142" s="10" t="inlineStr">
        <is>
          <t>content_inspection_runtime</t>
        </is>
      </c>
      <c r="L142" s="10" t="inlineStr">
        <is>
          <t>Kerangka deteksi sekuensial yang menyelaraskan urutan pemanggilan tool MCP dengan tahapan kill chain untuk mendeteksi serangan multi-langkah yang lolos dari pemeriksaan per-panggilan.</t>
        </is>
      </c>
      <c r="M142" s="10" t="inlineStr">
        <is>
          <t>ya</t>
        </is>
      </c>
      <c r="N142" s="10" t="inlineStr">
        <is>
          <t>H</t>
        </is>
      </c>
      <c r="O142" s="10" t="inlineStr">
        <is>
          <t>R2;R3;R5</t>
        </is>
      </c>
      <c r="P142" s="10" t="inlineStr">
        <is>
          <t>D1;D2</t>
        </is>
      </c>
      <c r="Q142" s="10" t="n"/>
      <c r="R142" s="10" t="inlineStr">
        <is>
          <t>none</t>
        </is>
      </c>
      <c r="S142" s="10" t="n"/>
      <c r="T142" s="10" t="inlineStr">
        <is>
          <t>none</t>
        </is>
      </c>
      <c r="U142" s="10" t="inlineStr">
        <is>
          <t>n/a_tanpa_evaluasi</t>
        </is>
      </c>
      <c r="V142" s="10" t="n"/>
      <c r="W142" s="10" t="inlineStr">
        <is>
          <t>Sec. 3, Gbr 2, hal. 5-7</t>
        </is>
      </c>
      <c r="X142" s="10" t="inlineStr">
        <is>
          <t>none</t>
        </is>
      </c>
      <c r="Y142" s="10" t="inlineStr">
        <is>
          <t>not_reported</t>
        </is>
      </c>
      <c r="Z142" s="10" t="inlineStr">
        <is>
          <t>Rancangan kerangka kerja deteksi sekuensial ChainWatch untuk serangan multi-langkah MCP; dievaluasi melalui analisis skenario naratif tanpa evaluasi eksperimental empiris (L0).</t>
        </is>
      </c>
      <c r="AA142" s="11">
        <f>IF(I142="","",IF(OR(I142="attack",I142="survey_review",I142="benchmark_measurement",I142="position_other",I142="not_defense"),"n/a",IF(OR(X142="spec_normatif",X142="produksi_bukti_publik"),"L3",IF(ISNUMBER(SEARCH("independent",R142)),"L2",IF(R142="author_run","L1",IF(R142="none","L0",""))))))</f>
        <v/>
      </c>
      <c r="AB142" s="11">
        <f>IF(I142="","",IF(AND(K142="deterministic_policy",M142="ya"),"PERIKSA: deterministic_policy tetapi LLM/ML ada dalam keputusan. ","")&amp;IF(AND(U142="ya",V142=""),"PERIKSA: adaptif=ya wajib ada kutipan. ","")&amp;IF(AND(R142="none",U142&lt;&gt;"n/a_tanpa_evaluasi",U142&lt;&gt;""),"PERIKSA: tanpa evaluasi, adaptif harus n/a. ","")&amp;IF(AND(OR(R142="author_run",R142="author_run+independent",R142="independent_only"),Q142=""),"PERIKSA: isi kelas_dievaluasi. ","")&amp;IF(AND(OR(R142="author_run",R142="author_run+independent",R142="independent_only"),W142=""),"PERIKSA: isi lokasi_bukti. ","")&amp;IF(AND(H142="tidak",R142&lt;&gt;""),"PERIKSA: tanpa teks lengkap, kosongkan kolom evaluasi. ",""))</f>
        <v/>
      </c>
      <c r="AC142" t="inlineStr">
        <is>
          <t>include</t>
        </is>
      </c>
    </row>
    <row r="143" ht="23.25" customHeight="1" s="21">
      <c r="A143" s="8" t="inlineStr">
        <is>
          <t>partha-2025-survey-model-context-protocol-architecture</t>
        </is>
      </c>
      <c r="B143" s="8" t="inlineStr">
        <is>
          <t>A Survey on Model Context Protocol: Architecture, State-of-the-art, Challenges and Future Directions</t>
        </is>
      </c>
      <c r="C143" s="8" t="n">
        <v>2025</v>
      </c>
      <c r="D143" s="8" t="inlineStr">
        <is>
          <t>E2</t>
        </is>
      </c>
      <c r="E143" s="8" t="inlineStr">
        <is>
          <t>scan_cepat</t>
        </is>
      </c>
      <c r="F143" s="8" t="inlineStr">
        <is>
          <t>none</t>
        </is>
      </c>
      <c r="G143" s="9" t="inlineStr">
        <is>
          <t>https://doi.org/10.36227/techrxiv.174495492.22752319/v1</t>
        </is>
      </c>
      <c r="H143" s="10" t="n"/>
      <c r="I143" s="10" t="inlineStr">
        <is>
          <t>survey_review</t>
        </is>
      </c>
      <c r="J143" s="10" t="n"/>
      <c r="K143" s="10" t="n"/>
      <c r="L143" s="10" t="n"/>
      <c r="M143" s="10" t="n"/>
      <c r="N143" s="10" t="n"/>
      <c r="O143" s="10" t="n"/>
      <c r="P143" s="10" t="n"/>
      <c r="Q143" s="10" t="n"/>
      <c r="R143" s="10" t="n"/>
      <c r="S143" s="10" t="n"/>
      <c r="T143" s="10" t="n"/>
      <c r="U143" s="10" t="n"/>
      <c r="V143" s="10" t="n"/>
      <c r="W143" s="10" t="n"/>
      <c r="X143" s="10" t="n"/>
      <c r="Y143" s="10" t="n"/>
      <c r="Z143" s="10" t="inlineStr">
        <is>
          <t>Survei komprehensif arsitektur, semantik transport, dan tantangan terbuka MCP dari perspektif sistem komunikasi.</t>
        </is>
      </c>
      <c r="AA143" s="11">
        <f>IF(I143="","",IF(OR(I143="attack",I143="survey_review",I143="benchmark_measurement",I143="position_other",I143="not_defense"),"n/a",IF(OR(X143="spec_normatif",X143="produksi_bukti_publik"),"L3",IF(ISNUMBER(SEARCH("independent",R143)),"L2",IF(R143="author_run","L1",IF(R143="none","L0",""))))))</f>
        <v/>
      </c>
      <c r="AB143" s="11">
        <f>IF(I143="","",IF(AND(K143="deterministic_policy",M143="ya"),"PERIKSA: deterministic_policy tetapi LLM/ML ada dalam keputusan. ","")&amp;IF(AND(U143="ya",V143=""),"PERIKSA: adaptif=ya wajib ada kutipan. ","")&amp;IF(AND(R143="none",U143&lt;&gt;"n/a_tanpa_evaluasi",U143&lt;&gt;""),"PERIKSA: tanpa evaluasi, adaptif harus n/a. ","")&amp;IF(AND(OR(R143="author_run",R143="author_run+independent",R143="independent_only"),Q143=""),"PERIKSA: isi kelas_dievaluasi. ","")&amp;IF(AND(OR(R143="author_run",R143="author_run+independent",R143="independent_only"),W143=""),"PERIKSA: isi lokasi_bukti. ","")&amp;IF(AND(H143="tidak",R143&lt;&gt;""),"PERIKSA: tanpa teks lengkap, kosongkan kolom evaluasi. ",""))</f>
        <v/>
      </c>
      <c r="AC143" t="inlineStr">
        <is>
          <t>include</t>
        </is>
      </c>
    </row>
    <row r="144" ht="23.25" customHeight="1" s="21">
      <c r="A144" s="8" t="inlineStr">
        <is>
          <t>peiran-2026-docs-descriptions-smell-aware-evaluation</t>
        </is>
      </c>
      <c r="B144" s="8" t="inlineStr">
        <is>
          <t>From Docs to Descriptions: Smell-Aware Evaluation of MCP Server Descriptions</t>
        </is>
      </c>
      <c r="C144" s="8" t="n">
        <v>2026</v>
      </c>
      <c r="D144" s="8" t="inlineStr">
        <is>
          <t>E2</t>
        </is>
      </c>
      <c r="E144" s="8" t="inlineStr">
        <is>
          <t>scan_cepat</t>
        </is>
      </c>
      <c r="F144" s="8" t="inlineStr">
        <is>
          <t>none</t>
        </is>
      </c>
      <c r="G144" s="9" t="inlineStr">
        <is>
          <t>https://arxiv.org/abs/2602.18914</t>
        </is>
      </c>
      <c r="H144" s="10" t="n"/>
      <c r="I144" s="10" t="inlineStr">
        <is>
          <t>benchmark_measurement</t>
        </is>
      </c>
      <c r="J144" s="10" t="n"/>
      <c r="K144" s="10" t="n"/>
      <c r="L144" s="10" t="n"/>
      <c r="M144" s="10" t="n"/>
      <c r="N144" s="10" t="n"/>
      <c r="O144" s="10" t="n"/>
      <c r="P144" s="10" t="n"/>
      <c r="Q144" s="10" t="n"/>
      <c r="R144" s="10" t="n"/>
      <c r="S144" s="10" t="n"/>
      <c r="T144" s="10" t="n"/>
      <c r="U144" s="10" t="n"/>
      <c r="V144" s="10" t="n"/>
      <c r="W144" s="10" t="n"/>
      <c r="X144" s="10" t="n"/>
      <c r="Y144" s="10" t="n"/>
      <c r="Z144" s="10" t="inlineStr">
        <is>
          <t>Studi evaluasi empiris kualitas deskripsi tool (description smells) pada 10.831 server MCP dan pengaruhnya terhadap seleksi model.</t>
        </is>
      </c>
      <c r="AA144" s="11">
        <f>IF(I144="","",IF(OR(I144="attack",I144="survey_review",I144="benchmark_measurement",I144="position_other",I144="not_defense"),"n/a",IF(OR(X144="spec_normatif",X144="produksi_bukti_publik"),"L3",IF(ISNUMBER(SEARCH("independent",R144)),"L2",IF(R144="author_run","L1",IF(R144="none","L0",""))))))</f>
        <v/>
      </c>
      <c r="AB144" s="11">
        <f>IF(I144="","",IF(AND(K144="deterministic_policy",M144="ya"),"PERIKSA: deterministic_policy tetapi LLM/ML ada dalam keputusan. ","")&amp;IF(AND(U144="ya",V144=""),"PERIKSA: adaptif=ya wajib ada kutipan. ","")&amp;IF(AND(R144="none",U144&lt;&gt;"n/a_tanpa_evaluasi",U144&lt;&gt;""),"PERIKSA: tanpa evaluasi, adaptif harus n/a. ","")&amp;IF(AND(OR(R144="author_run",R144="author_run+independent",R144="independent_only"),Q144=""),"PERIKSA: isi kelas_dievaluasi. ","")&amp;IF(AND(OR(R144="author_run",R144="author_run+independent",R144="independent_only"),W144=""),"PERIKSA: isi lokasi_bukti. ","")&amp;IF(AND(H144="tidak",R144&lt;&gt;""),"PERIKSA: tanpa teks lengkap, kosongkan kolom evaluasi. ",""))</f>
        <v/>
      </c>
      <c r="AC144" t="inlineStr">
        <is>
          <t>include</t>
        </is>
      </c>
    </row>
    <row r="145" ht="23.25" customHeight="1" s="21">
      <c r="A145" s="8" t="inlineStr">
        <is>
          <t>ping-2025-automatic-red-teaming-llm-based</t>
        </is>
      </c>
      <c r="B145" s="8" t="inlineStr">
        <is>
          <t>Automatic Red Teaming LLM-based Agents with Model Context Protocol Tools</t>
        </is>
      </c>
      <c r="C145" s="8" t="n">
        <v>2025</v>
      </c>
      <c r="D145" s="8" t="inlineStr">
        <is>
          <t>E1</t>
        </is>
      </c>
      <c r="E145" s="8" t="inlineStr">
        <is>
          <t>scan_cepat</t>
        </is>
      </c>
      <c r="F145" s="8" t="inlineStr">
        <is>
          <t>none</t>
        </is>
      </c>
      <c r="G145" s="9" t="inlineStr">
        <is>
          <t>https://arxiv.org/abs/2509.21011</t>
        </is>
      </c>
      <c r="H145" s="10" t="n"/>
      <c r="I145" s="10" t="inlineStr">
        <is>
          <t>attack</t>
        </is>
      </c>
      <c r="J145" s="10" t="n"/>
      <c r="K145" s="10" t="n"/>
      <c r="L145" s="10" t="n"/>
      <c r="M145" s="10" t="n"/>
      <c r="N145" s="10" t="n"/>
      <c r="O145" s="10" t="n"/>
      <c r="P145" s="10" t="n"/>
      <c r="Q145" s="10" t="n"/>
      <c r="R145" s="10" t="n"/>
      <c r="S145" s="10" t="n"/>
      <c r="T145" s="10" t="n"/>
      <c r="U145" s="10" t="n"/>
      <c r="V145" s="10" t="n"/>
      <c r="W145" s="10" t="n"/>
      <c r="X145" s="10" t="n"/>
      <c r="Y145" s="10" t="n"/>
      <c r="Z145" s="10" t="inlineStr">
        <is>
          <t>Kerangka kerja red-teaming otomatis (AutoMalTool) untuk menghasilkan tool MCP berbahaya guna memanipulasi agen LLM.</t>
        </is>
      </c>
      <c r="AA145" s="11">
        <f>IF(I145="","",IF(OR(I145="attack",I145="survey_review",I145="benchmark_measurement",I145="position_other",I145="not_defense"),"n/a",IF(OR(X145="spec_normatif",X145="produksi_bukti_publik"),"L3",IF(ISNUMBER(SEARCH("independent",R145)),"L2",IF(R145="author_run","L1",IF(R145="none","L0",""))))))</f>
        <v/>
      </c>
      <c r="AB145" s="11">
        <f>IF(I145="","",IF(AND(K145="deterministic_policy",M145="ya"),"PERIKSA: deterministic_policy tetapi LLM/ML ada dalam keputusan. ","")&amp;IF(AND(U145="ya",V145=""),"PERIKSA: adaptif=ya wajib ada kutipan. ","")&amp;IF(AND(R145="none",U145&lt;&gt;"n/a_tanpa_evaluasi",U145&lt;&gt;""),"PERIKSA: tanpa evaluasi, adaptif harus n/a. ","")&amp;IF(AND(OR(R145="author_run",R145="author_run+independent",R145="independent_only"),Q145=""),"PERIKSA: isi kelas_dievaluasi. ","")&amp;IF(AND(OR(R145="author_run",R145="author_run+independent",R145="independent_only"),W145=""),"PERIKSA: isi lokasi_bukti. ","")&amp;IF(AND(H145="tidak",R145&lt;&gt;""),"PERIKSA: tanpa teks lengkap, kosongkan kolom evaluasi. ",""))</f>
        <v/>
      </c>
      <c r="AC145" t="inlineStr">
        <is>
          <t>include</t>
        </is>
      </c>
    </row>
    <row r="146" ht="23.25" customHeight="1" s="21">
      <c r="A146" s="8" t="inlineStr">
        <is>
          <t>pratyay-2026-mcp-sos-risk-assessment-framework</t>
        </is>
      </c>
      <c r="B146" s="8" t="inlineStr">
        <is>
          <t>MCP-in-SoS: Risk assessment framework for open-source MCP servers</t>
        </is>
      </c>
      <c r="C146" s="8" t="n">
        <v>2026</v>
      </c>
      <c r="D146" s="8" t="inlineStr">
        <is>
          <t>E2</t>
        </is>
      </c>
      <c r="E146" s="8" t="inlineStr">
        <is>
          <t>scan_cepat</t>
        </is>
      </c>
      <c r="F146" s="8" t="inlineStr">
        <is>
          <t>none</t>
        </is>
      </c>
      <c r="G146" s="9" t="inlineStr">
        <is>
          <t>https://arxiv.org/abs/2603.10194</t>
        </is>
      </c>
      <c r="H146" s="10" t="n"/>
      <c r="I146" s="10" t="inlineStr">
        <is>
          <t>position_other</t>
        </is>
      </c>
      <c r="J146" s="10" t="n"/>
      <c r="K146" s="10" t="n"/>
      <c r="L146" s="10" t="n"/>
      <c r="M146" s="10" t="n"/>
      <c r="N146" s="10" t="n"/>
      <c r="O146" s="10" t="n"/>
      <c r="P146" s="10" t="n"/>
      <c r="Q146" s="10" t="n"/>
      <c r="R146" s="10" t="n"/>
      <c r="S146" s="10" t="n"/>
      <c r="T146" s="10" t="n"/>
      <c r="U146" s="10" t="n"/>
      <c r="V146" s="10" t="n"/>
      <c r="W146" s="10" t="n"/>
      <c r="X146" s="10" t="n"/>
      <c r="Y146" s="10" t="n"/>
      <c r="Z146" s="10" t="inlineStr">
        <is>
          <t>Kerangka kerja penilaian risiko konseptual (risk assessment framework) berbasis pemetaan CWE dan CAPEC pada server MCP.</t>
        </is>
      </c>
      <c r="AA146" s="11">
        <f>IF(I146="","",IF(OR(I146="attack",I146="survey_review",I146="benchmark_measurement",I146="position_other",I146="not_defense"),"n/a",IF(OR(X146="spec_normatif",X146="produksi_bukti_publik"),"L3",IF(ISNUMBER(SEARCH("independent",R146)),"L2",IF(R146="author_run","L1",IF(R146="none","L0",""))))))</f>
        <v/>
      </c>
      <c r="AB146" s="11">
        <f>IF(I146="","",IF(AND(K146="deterministic_policy",M146="ya"),"PERIKSA: deterministic_policy tetapi LLM/ML ada dalam keputusan. ","")&amp;IF(AND(U146="ya",V146=""),"PERIKSA: adaptif=ya wajib ada kutipan. ","")&amp;IF(AND(R146="none",U146&lt;&gt;"n/a_tanpa_evaluasi",U146&lt;&gt;""),"PERIKSA: tanpa evaluasi, adaptif harus n/a. ","")&amp;IF(AND(OR(R146="author_run",R146="author_run+independent",R146="independent_only"),Q146=""),"PERIKSA: isi kelas_dievaluasi. ","")&amp;IF(AND(OR(R146="author_run",R146="author_run+independent",R146="independent_only"),W146=""),"PERIKSA: isi lokasi_bukti. ","")&amp;IF(AND(H146="tidak",R146&lt;&gt;""),"PERIKSA: tanpa teks lengkap, kosongkan kolom evaluasi. ",""))</f>
        <v/>
      </c>
      <c r="AC146" t="inlineStr">
        <is>
          <t>include</t>
        </is>
      </c>
    </row>
    <row r="147" ht="23.25" customHeight="1" s="21">
      <c r="A147" s="8" t="inlineStr">
        <is>
          <t>rabimba-2026-when-agents-act-web3-attack</t>
        </is>
      </c>
      <c r="B147" s="8" t="inlineStr">
        <is>
          <t>When Agents Act on Web3: An Attack-Surface Survey of MCP, Skills, and Tool Calling</t>
        </is>
      </c>
      <c r="C147" s="8" t="n">
        <v>2026</v>
      </c>
      <c r="D147" s="8" t="inlineStr">
        <is>
          <t>E2</t>
        </is>
      </c>
      <c r="E147" s="8" t="inlineStr">
        <is>
          <t>scan_cepat</t>
        </is>
      </c>
      <c r="F147" s="8" t="inlineStr">
        <is>
          <t>none</t>
        </is>
      </c>
      <c r="G147" s="9" t="inlineStr">
        <is>
          <t>https://arxiv.org/abs/2608.17275</t>
        </is>
      </c>
      <c r="H147" s="10" t="n"/>
      <c r="I147" s="10" t="inlineStr">
        <is>
          <t>survey_review</t>
        </is>
      </c>
      <c r="J147" s="10" t="n"/>
      <c r="K147" s="10" t="n"/>
      <c r="L147" s="10" t="n"/>
      <c r="M147" s="10" t="n"/>
      <c r="N147" s="10" t="n"/>
      <c r="O147" s="10" t="n"/>
      <c r="P147" s="10" t="n"/>
      <c r="Q147" s="10" t="n"/>
      <c r="R147" s="10" t="n"/>
      <c r="S147" s="10" t="n"/>
      <c r="T147" s="10" t="n"/>
      <c r="U147" s="10" t="n"/>
      <c r="V147" s="10" t="n"/>
      <c r="W147" s="10" t="n"/>
      <c r="X147" s="10" t="n"/>
      <c r="Y147" s="10" t="n"/>
      <c r="Z147" s="10" t="inlineStr">
        <is>
          <t>Survei lanskap ancaman dan tinjauan taksonomi permukaan serangan integrasi agen MCP pada lingkungan terdesentralisasi/Web3.</t>
        </is>
      </c>
      <c r="AA147" s="11">
        <f>IF(I147="","",IF(OR(I147="attack",I147="survey_review",I147="benchmark_measurement",I147="position_other",I147="not_defense"),"n/a",IF(OR(X147="spec_normatif",X147="produksi_bukti_publik"),"L3",IF(ISNUMBER(SEARCH("independent",R147)),"L2",IF(R147="author_run","L1",IF(R147="none","L0",""))))))</f>
        <v/>
      </c>
      <c r="AB147" s="11">
        <f>IF(I147="","",IF(AND(K147="deterministic_policy",M147="ya"),"PERIKSA: deterministic_policy tetapi LLM/ML ada dalam keputusan. ","")&amp;IF(AND(U147="ya",V147=""),"PERIKSA: adaptif=ya wajib ada kutipan. ","")&amp;IF(AND(R147="none",U147&lt;&gt;"n/a_tanpa_evaluasi",U147&lt;&gt;""),"PERIKSA: tanpa evaluasi, adaptif harus n/a. ","")&amp;IF(AND(OR(R147="author_run",R147="author_run+independent",R147="independent_only"),Q147=""),"PERIKSA: isi kelas_dievaluasi. ","")&amp;IF(AND(OR(R147="author_run",R147="author_run+independent",R147="independent_only"),W147=""),"PERIKSA: isi lokasi_bukti. ","")&amp;IF(AND(H147="tidak",R147&lt;&gt;""),"PERIKSA: tanpa teks lengkap, kosongkan kolom evaluasi. ",""))</f>
        <v/>
      </c>
      <c r="AC147" t="inlineStr">
        <is>
          <t>include</t>
        </is>
      </c>
    </row>
    <row r="148" ht="23.25" customHeight="1" s="21">
      <c r="A148" s="12" t="inlineStr">
        <is>
          <t>rakesh-2026-authorization-architectures-tool-using-ai</t>
        </is>
      </c>
      <c r="B148" s="12" t="inlineStr">
        <is>
          <t>Authorization Architectures for Tool-Using AI Agents</t>
        </is>
      </c>
      <c r="C148" s="12" t="n">
        <v>2026</v>
      </c>
      <c r="D148" s="12" t="inlineStr">
        <is>
          <t>E2</t>
        </is>
      </c>
      <c r="E148" s="12" t="inlineStr">
        <is>
          <t>scan_cepat</t>
        </is>
      </c>
      <c r="F148" s="12" t="inlineStr">
        <is>
          <t>none</t>
        </is>
      </c>
      <c r="G148" s="13" t="inlineStr">
        <is>
          <t>https://arxiv.org/abs/2609.15906</t>
        </is>
      </c>
      <c r="H148" s="12" t="n"/>
      <c r="I148" s="12" t="inlineStr">
        <is>
          <t>position_other</t>
        </is>
      </c>
      <c r="J148" s="12" t="n"/>
      <c r="K148" s="12" t="n"/>
      <c r="L148" s="12" t="n"/>
      <c r="M148" s="12" t="n"/>
      <c r="N148" s="12" t="n"/>
      <c r="O148" s="12" t="n"/>
      <c r="P148" s="12" t="n"/>
      <c r="Q148" s="12" t="n"/>
      <c r="R148" s="12" t="n"/>
      <c r="S148" s="12" t="n"/>
      <c r="T148" s="12" t="n"/>
      <c r="U148" s="12" t="n"/>
      <c r="V148" s="12" t="n"/>
      <c r="W148" s="12" t="n"/>
      <c r="X148" s="12" t="n"/>
      <c r="Y148" s="12" t="n"/>
      <c r="Z148" s="12" t="inlineStr">
        <is>
          <t>[AUDIT_v5_EXCLUDE: EC2] Dikeluarkan dari korpus MCP-spesifik oleh audit reviewer kedua v5. (audit lanjutan; diterima koordinator) | Catatan lama: Makalah konseptual dan tinjauan arsitektur otorisasi untuk agen AI pengguna tool tanpa implementasi kode/runtime.</t>
        </is>
      </c>
      <c r="AA148" s="12">
        <f>IF(I148="","",IF(OR(I148="attack",I148="survey_review",I148="benchmark_measurement",I148="position_other",I148="not_defense"),"n/a",IF(OR(X148="spec_normatif",X148="produksi_bukti_publik"),"L3",IF(ISNUMBER(SEARCH("independent",R148)),"L2",IF(R148="author_run","L1",IF(R148="none","L0",""))))))</f>
        <v/>
      </c>
      <c r="AB148" s="12">
        <f>IF(I148="","",IF(AND(K148="deterministic_policy",M148="ya"),"PERIKSA: deterministic_policy tetapi LLM/ML ada dalam keputusan. ","")&amp;IF(AND(U148="ya",V148=""),"PERIKSA: adaptif=ya wajib ada kutipan. ","")&amp;IF(AND(R148="none",U148&lt;&gt;"n/a_tanpa_evaluasi",U148&lt;&gt;""),"PERIKSA: tanpa evaluasi, adaptif harus n/a. ","")&amp;IF(AND(OR(R148="author_run",R148="author_run+independent",R148="independent_only"),Q148=""),"PERIKSA: isi kelas_dievaluasi. ","")&amp;IF(AND(OR(R148="author_run",R148="author_run+independent",R148="independent_only"),W148=""),"PERIKSA: isi lokasi_bukti. ","")&amp;IF(AND(H148="tidak",R148&lt;&gt;""),"PERIKSA: tanpa teks lengkap, kosongkan kolom evaluasi. ",""))</f>
        <v/>
      </c>
      <c r="AC148" s="14" t="inlineStr">
        <is>
          <t>exclude</t>
        </is>
      </c>
      <c r="AD148" s="14" t="inlineStr">
        <is>
          <t>EC2</t>
        </is>
      </c>
      <c r="AE148" s="14" t="inlineStr">
        <is>
          <t>audit lanjutan; diterima koordinator</t>
        </is>
      </c>
    </row>
    <row r="149" ht="23.25" customHeight="1" s="21">
      <c r="A149" s="8" t="inlineStr">
        <is>
          <t>ruiqi-2026-mcp-itp-automated-framework-implicit</t>
        </is>
      </c>
      <c r="B149" s="8" t="inlineStr">
        <is>
          <t>MCP-ITP: An Automated Framework for Implicit Tool Poisoning in MCP</t>
        </is>
      </c>
      <c r="C149" s="8" t="n">
        <v>2026</v>
      </c>
      <c r="D149" s="8" t="inlineStr">
        <is>
          <t>E2</t>
        </is>
      </c>
      <c r="E149" s="8" t="inlineStr">
        <is>
          <t>scan_cepat</t>
        </is>
      </c>
      <c r="F149" s="8" t="inlineStr">
        <is>
          <t>none</t>
        </is>
      </c>
      <c r="G149" s="9" t="inlineStr">
        <is>
          <t>https://arxiv.org/abs/2601.07395</t>
        </is>
      </c>
      <c r="H149" s="10" t="n"/>
      <c r="I149" s="10" t="inlineStr">
        <is>
          <t>attack</t>
        </is>
      </c>
      <c r="J149" s="10" t="n"/>
      <c r="K149" s="10" t="n"/>
      <c r="L149" s="10" t="n"/>
      <c r="M149" s="10" t="n"/>
      <c r="N149" s="10" t="n"/>
      <c r="O149" s="10" t="n"/>
      <c r="P149" s="10" t="n"/>
      <c r="Q149" s="10" t="n"/>
      <c r="R149" s="10" t="n"/>
      <c r="S149" s="10" t="n"/>
      <c r="T149" s="10" t="n"/>
      <c r="U149" s="10" t="n"/>
      <c r="V149" s="10" t="n"/>
      <c r="W149" s="10" t="n"/>
      <c r="X149" s="10" t="n"/>
      <c r="Y149" s="10" t="n"/>
      <c r="Z149" s="10" t="inlineStr">
        <is>
          <t>Kerangka serangan tool poisoning implisit otomatis (MCP-ITP) untuk memanipulasi pemanggilan tool tanpa mitigasi yang diuji.</t>
        </is>
      </c>
      <c r="AA149" s="11">
        <f>IF(I149="","",IF(OR(I149="attack",I149="survey_review",I149="benchmark_measurement",I149="position_other",I149="not_defense"),"n/a",IF(OR(X149="spec_normatif",X149="produksi_bukti_publik"),"L3",IF(ISNUMBER(SEARCH("independent",R149)),"L2",IF(R149="author_run","L1",IF(R149="none","L0",""))))))</f>
        <v/>
      </c>
      <c r="AB149" s="11">
        <f>IF(I149="","",IF(AND(K149="deterministic_policy",M149="ya"),"PERIKSA: deterministic_policy tetapi LLM/ML ada dalam keputusan. ","")&amp;IF(AND(U149="ya",V149=""),"PERIKSA: adaptif=ya wajib ada kutipan. ","")&amp;IF(AND(R149="none",U149&lt;&gt;"n/a_tanpa_evaluasi",U149&lt;&gt;""),"PERIKSA: tanpa evaluasi, adaptif harus n/a. ","")&amp;IF(AND(OR(R149="author_run",R149="author_run+independent",R149="independent_only"),Q149=""),"PERIKSA: isi kelas_dievaluasi. ","")&amp;IF(AND(OR(R149="author_run",R149="author_run+independent",R149="independent_only"),W149=""),"PERIKSA: isi lokasi_bukti. ","")&amp;IF(AND(H149="tidak",R149&lt;&gt;""),"PERIKSA: tanpa teks lengkap, kosongkan kolom evaluasi. ",""))</f>
        <v/>
      </c>
      <c r="AC149" t="inlineStr">
        <is>
          <t>include</t>
        </is>
      </c>
    </row>
    <row r="150" ht="23.25" customHeight="1" s="21">
      <c r="A150" s="8" t="inlineStr">
        <is>
          <t>run-2026-mcp-pitfall-lab-exposing-developer</t>
        </is>
      </c>
      <c r="B150" s="8" t="inlineStr">
        <is>
          <t>MCP Pitfall Lab: Exposing Developer Pitfalls in MCP Tool Server Security under Multi-Vector Attacks</t>
        </is>
      </c>
      <c r="C150" s="8" t="n">
        <v>2026</v>
      </c>
      <c r="D150" s="8" t="inlineStr">
        <is>
          <t>E2</t>
        </is>
      </c>
      <c r="E150" s="8" t="inlineStr">
        <is>
          <t>scan_cepat</t>
        </is>
      </c>
      <c r="F150" s="8" t="inlineStr">
        <is>
          <t>none</t>
        </is>
      </c>
      <c r="G150" s="9" t="inlineStr">
        <is>
          <t>https://arxiv.org/abs/2604.21477</t>
        </is>
      </c>
      <c r="H150" s="10" t="n"/>
      <c r="I150" s="10" t="inlineStr">
        <is>
          <t>benchmark_measurement</t>
        </is>
      </c>
      <c r="J150" s="10" t="n"/>
      <c r="K150" s="10" t="n"/>
      <c r="L150" s="10" t="n"/>
      <c r="M150" s="10" t="n"/>
      <c r="N150" s="10" t="n"/>
      <c r="O150" s="10" t="n"/>
      <c r="P150" s="10" t="n"/>
      <c r="Q150" s="10" t="n"/>
      <c r="R150" s="10" t="n"/>
      <c r="S150" s="10" t="n"/>
      <c r="T150" s="10" t="n"/>
      <c r="U150" s="10" t="n"/>
      <c r="V150" s="10" t="n"/>
      <c r="W150" s="10" t="n"/>
      <c r="X150" s="10" t="n"/>
      <c r="Y150" s="10" t="n"/>
      <c r="Z150" s="10" t="inlineStr">
        <is>
          <t>Kerangka pengujian keamanan dan tolok ukur (Pitfall Lab &amp; MCP-BOM) untuk mengevaluasi kerentanan implementasi server tool MCP.</t>
        </is>
      </c>
      <c r="AA150" s="11">
        <f>IF(I150="","",IF(OR(I150="attack",I150="survey_review",I150="benchmark_measurement",I150="position_other",I150="not_defense"),"n/a",IF(OR(X150="spec_normatif",X150="produksi_bukti_publik"),"L3",IF(ISNUMBER(SEARCH("independent",R150)),"L2",IF(R150="author_run","L1",IF(R150="none","L0",""))))))</f>
        <v/>
      </c>
      <c r="AB150" s="11">
        <f>IF(I150="","",IF(AND(K150="deterministic_policy",M150="ya"),"PERIKSA: deterministic_policy tetapi LLM/ML ada dalam keputusan. ","")&amp;IF(AND(U150="ya",V150=""),"PERIKSA: adaptif=ya wajib ada kutipan. ","")&amp;IF(AND(R150="none",U150&lt;&gt;"n/a_tanpa_evaluasi",U150&lt;&gt;""),"PERIKSA: tanpa evaluasi, adaptif harus n/a. ","")&amp;IF(AND(OR(R150="author_run",R150="author_run+independent",R150="independent_only"),Q150=""),"PERIKSA: isi kelas_dievaluasi. ","")&amp;IF(AND(OR(R150="author_run",R150="author_run+independent",R150="independent_only"),W150=""),"PERIKSA: isi lokasi_bukti. ","")&amp;IF(AND(H150="tidak",R150&lt;&gt;""),"PERIKSA: tanpa teks lengkap, kosongkan kolom evaluasi. ",""))</f>
        <v/>
      </c>
      <c r="AC150" t="inlineStr">
        <is>
          <t>include</t>
        </is>
      </c>
    </row>
    <row r="151" ht="34.5" customHeight="1" s="21">
      <c r="A151" s="8" t="inlineStr">
        <is>
          <t>rushabh-2026-pentestchain-cost-aware-mcp-orchestrated</t>
        </is>
      </c>
      <c r="B151" s="8" t="inlineStr">
        <is>
          <t>PentestChain: A Cost-Aware, MCP-Orchestrated Framework for Automated Penetration Testing with Free-Tier LLMs</t>
        </is>
      </c>
      <c r="C151" s="8" t="n">
        <v>2026</v>
      </c>
      <c r="D151" s="8" t="inlineStr">
        <is>
          <t>E2</t>
        </is>
      </c>
      <c r="E151" s="8" t="inlineStr">
        <is>
          <t>scan_cepat</t>
        </is>
      </c>
      <c r="F151" s="8" t="inlineStr">
        <is>
          <t>none</t>
        </is>
      </c>
      <c r="G151" s="9" t="inlineStr">
        <is>
          <t>https://arxiv.org/abs/2609.18120</t>
        </is>
      </c>
      <c r="H151" s="10" t="n"/>
      <c r="I151" s="10" t="inlineStr">
        <is>
          <t>attack</t>
        </is>
      </c>
      <c r="J151" s="10" t="n"/>
      <c r="K151" s="10" t="n"/>
      <c r="L151" s="10" t="n"/>
      <c r="M151" s="10" t="n"/>
      <c r="N151" s="10" t="n"/>
      <c r="O151" s="10" t="n"/>
      <c r="P151" s="10" t="n"/>
      <c r="Q151" s="10" t="n"/>
      <c r="R151" s="10" t="n"/>
      <c r="S151" s="10" t="n"/>
      <c r="T151" s="10" t="n"/>
      <c r="U151" s="10" t="n"/>
      <c r="V151" s="10" t="n"/>
      <c r="W151" s="10" t="n"/>
      <c r="X151" s="10" t="n"/>
      <c r="Y151" s="10" t="n"/>
      <c r="Z151" s="10" t="inlineStr">
        <is>
          <t>Framework otomatisasi uji penetrasi ofensif (penetration testing) yang diorkestrasi menggunakan server MCP.</t>
        </is>
      </c>
      <c r="AA151" s="11">
        <f>IF(I151="","",IF(OR(I151="attack",I151="survey_review",I151="benchmark_measurement",I151="position_other",I151="not_defense"),"n/a",IF(OR(X151="spec_normatif",X151="produksi_bukti_publik"),"L3",IF(ISNUMBER(SEARCH("independent",R151)),"L2",IF(R151="author_run","L1",IF(R151="none","L0",""))))))</f>
        <v/>
      </c>
      <c r="AB151" s="11">
        <f>IF(I151="","",IF(AND(K151="deterministic_policy",M151="ya"),"PERIKSA: deterministic_policy tetapi LLM/ML ada dalam keputusan. ","")&amp;IF(AND(U151="ya",V151=""),"PERIKSA: adaptif=ya wajib ada kutipan. ","")&amp;IF(AND(R151="none",U151&lt;&gt;"n/a_tanpa_evaluasi",U151&lt;&gt;""),"PERIKSA: tanpa evaluasi, adaptif harus n/a. ","")&amp;IF(AND(OR(R151="author_run",R151="author_run+independent",R151="independent_only"),Q151=""),"PERIKSA: isi kelas_dievaluasi. ","")&amp;IF(AND(OR(R151="author_run",R151="author_run+independent",R151="independent_only"),W151=""),"PERIKSA: isi lokasi_bukti. ","")&amp;IF(AND(H151="tidak",R151&lt;&gt;""),"PERIKSA: tanpa teks lengkap, kosongkan kolom evaluasi. ",""))</f>
        <v/>
      </c>
      <c r="AC151" t="inlineStr">
        <is>
          <t>include</t>
        </is>
      </c>
    </row>
    <row r="152" ht="23.25" customHeight="1" s="21">
      <c r="A152" s="8" t="inlineStr">
        <is>
          <t>saeid-2026-game-theoretic-multi-agent-control</t>
        </is>
      </c>
      <c r="B152" s="8" t="inlineStr">
        <is>
          <t>Game-Theoretic Multi-Agent Control for Robust Contextual Reasoning in LLMs</t>
        </is>
      </c>
      <c r="C152" s="8" t="n">
        <v>2026</v>
      </c>
      <c r="D152" s="8" t="inlineStr">
        <is>
          <t>E2</t>
        </is>
      </c>
      <c r="E152" s="8" t="inlineStr">
        <is>
          <t>scan_cepat</t>
        </is>
      </c>
      <c r="F152" s="8" t="inlineStr">
        <is>
          <t>none</t>
        </is>
      </c>
      <c r="G152" s="9" t="inlineStr">
        <is>
          <t>https://arxiv.org/abs/2606.10322</t>
        </is>
      </c>
      <c r="H152" s="10" t="inlineStr">
        <is>
          <t>ya</t>
        </is>
      </c>
      <c r="I152" s="10" t="inlineStr">
        <is>
          <t>defense_primary</t>
        </is>
      </c>
      <c r="J152" s="10" t="inlineStr">
        <is>
          <t>GT-MCP</t>
        </is>
      </c>
      <c r="K152" s="10" t="inlineStr">
        <is>
          <t>content_inspection_runtime</t>
        </is>
      </c>
      <c r="L152" s="10" t="inlineStr">
        <is>
          <t>Kontroler multi-agen berbasis teori permainan yang memvalidasi graf kausal, mengagregasi skor kepercayaan, dan menerapkan pemulihan konteks (rollback) terhadap manipulasi konteks multi-turn.</t>
        </is>
      </c>
      <c r="M152" s="10" t="inlineStr">
        <is>
          <t>ya</t>
        </is>
      </c>
      <c r="N152" s="10" t="inlineStr">
        <is>
          <t>H</t>
        </is>
      </c>
      <c r="O152" s="10" t="inlineStr">
        <is>
          <t>R2;R6</t>
        </is>
      </c>
      <c r="P152" s="10" t="inlineStr">
        <is>
          <t>A2;D2</t>
        </is>
      </c>
      <c r="Q152" s="10" t="inlineStr">
        <is>
          <t>A2;D2</t>
        </is>
      </c>
      <c r="R152" s="10" t="inlineStr">
        <is>
          <t>author_run</t>
        </is>
      </c>
      <c r="S152" s="10" t="n"/>
      <c r="T152" s="10" t="inlineStr">
        <is>
          <t>authors_own</t>
        </is>
      </c>
      <c r="U152" s="10" t="inlineStr">
        <is>
          <t>tidak</t>
        </is>
      </c>
      <c r="V152" s="10" t="n"/>
      <c r="W152" s="10" t="inlineStr">
        <is>
          <t>Sec. V, Tables VII-XIII, Fig. 2-6</t>
        </is>
      </c>
      <c r="X152" s="10" t="inlineStr">
        <is>
          <t>none</t>
        </is>
      </c>
      <c r="Y152" s="10" t="inlineStr">
        <is>
          <t>dilaporkan: profil utilitas dan latensi pemilihan kandidat agen (Tabel XI &amp; XII)</t>
        </is>
      </c>
      <c r="Z152" s="10" t="inlineStr">
        <is>
          <t>Kerangka kerja GT-MCP untuk kontrol konteks multi-turn berbasis teori permainan dan agregasi kepercayaan multi-agen.</t>
        </is>
      </c>
      <c r="AA152" s="11">
        <f>IF(I152="","",IF(OR(I152="attack",I152="survey_review",I152="benchmark_measurement",I152="position_other",I152="not_defense"),"n/a",IF(OR(X152="spec_normatif",X152="produksi_bukti_publik"),"L3",IF(ISNUMBER(SEARCH("independent",R152)),"L2",IF(R152="author_run","L1",IF(R152="none","L0",""))))))</f>
        <v/>
      </c>
      <c r="AB152" s="11">
        <f>IF(I152="","",IF(AND(K152="deterministic_policy",M152="ya"),"PERIKSA: deterministic_policy tetapi LLM/ML ada dalam keputusan. ","")&amp;IF(AND(U152="ya",V152=""),"PERIKSA: adaptif=ya wajib ada kutipan. ","")&amp;IF(AND(R152="none",U152&lt;&gt;"n/a_tanpa_evaluasi",U152&lt;&gt;""),"PERIKSA: tanpa evaluasi, adaptif harus n/a. ","")&amp;IF(AND(OR(R152="author_run",R152="author_run+independent",R152="independent_only"),Q152=""),"PERIKSA: isi kelas_dievaluasi. ","")&amp;IF(AND(OR(R152="author_run",R152="author_run+independent",R152="independent_only"),W152=""),"PERIKSA: isi lokasi_bukti. ","")&amp;IF(AND(H152="tidak",R152&lt;&gt;""),"PERIKSA: tanpa teks lengkap, kosongkan kolom evaluasi. ",""))</f>
        <v/>
      </c>
      <c r="AC152" t="inlineStr">
        <is>
          <t>include</t>
        </is>
      </c>
    </row>
    <row r="153" ht="34.5" customHeight="1" s="21">
      <c r="A153" s="12" t="inlineStr">
        <is>
          <t>seo-2026-semantic-manipulation-attacks-agentic-ai</t>
        </is>
      </c>
      <c r="B153" s="12" t="inlineStr">
        <is>
          <t>Semantic Manipulation Attacks in Agentic AI Systems with Agent-to-Agent Communication and Model-Context-Protocol–Based Tool Invocation</t>
        </is>
      </c>
      <c r="C153" s="12" t="n">
        <v>2026</v>
      </c>
      <c r="D153" s="12" t="inlineStr">
        <is>
          <t>E1</t>
        </is>
      </c>
      <c r="E153" s="12" t="inlineStr">
        <is>
          <t>scan_cepat</t>
        </is>
      </c>
      <c r="F153" s="12" t="inlineStr">
        <is>
          <t>none</t>
        </is>
      </c>
      <c r="G153" s="13" t="inlineStr">
        <is>
          <t>https://doi.org/10.1109/INFOCOM59046.2026.11571532</t>
        </is>
      </c>
      <c r="H153" s="12" t="n"/>
      <c r="I153" s="12" t="inlineStr">
        <is>
          <t>attack</t>
        </is>
      </c>
      <c r="J153" s="12" t="n"/>
      <c r="K153" s="12" t="n"/>
      <c r="L153" s="12" t="n"/>
      <c r="M153" s="12" t="n"/>
      <c r="N153" s="12" t="n"/>
      <c r="O153" s="12" t="n"/>
      <c r="P153" s="12" t="n"/>
      <c r="Q153" s="12" t="n"/>
      <c r="R153" s="12" t="n"/>
      <c r="S153" s="12" t="n"/>
      <c r="T153" s="12" t="n"/>
      <c r="U153" s="12" t="n"/>
      <c r="V153" s="12" t="n"/>
      <c r="W153" s="12" t="n"/>
      <c r="X153" s="12" t="n"/>
      <c r="Y153" s="12" t="n"/>
      <c r="Z153" s="12" t="inlineStr">
        <is>
          <t>[AUDIT_v5_EXCLUDE: EC2] Dikeluarkan dari korpus MCP-spesifik oleh audit reviewer kedua v5. (audit lanjutan; aturan A1) | Catatan lama: Studi dan eksperimen serangan manipulasi semantik (confused deputy) pada sistem integrasi A2A dan MCP tanpa mitigasi baru.</t>
        </is>
      </c>
      <c r="AA153" s="12">
        <f>IF(I153="","",IF(OR(I153="attack",I153="survey_review",I153="benchmark_measurement",I153="position_other",I153="not_defense"),"n/a",IF(OR(X153="spec_normatif",X153="produksi_bukti_publik"),"L3",IF(ISNUMBER(SEARCH("independent",R153)),"L2",IF(R153="author_run","L1",IF(R153="none","L0",""))))))</f>
        <v/>
      </c>
      <c r="AB153" s="12">
        <f>IF(I153="","",IF(AND(K153="deterministic_policy",M153="ya"),"PERIKSA: deterministic_policy tetapi LLM/ML ada dalam keputusan. ","")&amp;IF(AND(U153="ya",V153=""),"PERIKSA: adaptif=ya wajib ada kutipan. ","")&amp;IF(AND(R153="none",U153&lt;&gt;"n/a_tanpa_evaluasi",U153&lt;&gt;""),"PERIKSA: tanpa evaluasi, adaptif harus n/a. ","")&amp;IF(AND(OR(R153="author_run",R153="author_run+independent",R153="independent_only"),Q153=""),"PERIKSA: isi kelas_dievaluasi. ","")&amp;IF(AND(OR(R153="author_run",R153="author_run+independent",R153="independent_only"),W153=""),"PERIKSA: isi lokasi_bukti. ","")&amp;IF(AND(H153="tidak",R153&lt;&gt;""),"PERIKSA: tanpa teks lengkap, kosongkan kolom evaluasi. ",""))</f>
        <v/>
      </c>
      <c r="AC153" s="14" t="inlineStr">
        <is>
          <t>exclude</t>
        </is>
      </c>
      <c r="AD153" s="14" t="inlineStr">
        <is>
          <t>EC2</t>
        </is>
      </c>
      <c r="AE153" s="14" t="inlineStr">
        <is>
          <t>audit lanjutan; aturan A1</t>
        </is>
      </c>
    </row>
    <row r="154" ht="23.25" customHeight="1" s="21">
      <c r="A154" s="12" t="inlineStr">
        <is>
          <t>sergey-2026-artifacts-risk-auditing-instruction-surfaces</t>
        </is>
      </c>
      <c r="B154" s="12" t="inlineStr">
        <is>
          <t>From Artifacts to Risk: Auditing Instruction Surfaces in Agent Systems</t>
        </is>
      </c>
      <c r="C154" s="12" t="n">
        <v>2026</v>
      </c>
      <c r="D154" s="12" t="inlineStr">
        <is>
          <t>E2</t>
        </is>
      </c>
      <c r="E154" s="12" t="inlineStr">
        <is>
          <t>scan_cepat</t>
        </is>
      </c>
      <c r="F154" s="12" t="inlineStr">
        <is>
          <t>none</t>
        </is>
      </c>
      <c r="G154" s="13" t="inlineStr">
        <is>
          <t>https://doi.org/10.24108/preprints-3115116</t>
        </is>
      </c>
      <c r="H154" s="12" t="n"/>
      <c r="I154" s="12" t="inlineStr">
        <is>
          <t>benchmark_measurement</t>
        </is>
      </c>
      <c r="J154" s="12" t="n"/>
      <c r="K154" s="12" t="n"/>
      <c r="L154" s="12" t="n"/>
      <c r="M154" s="12" t="n"/>
      <c r="N154" s="12" t="n"/>
      <c r="O154" s="12" t="n"/>
      <c r="P154" s="12" t="n"/>
      <c r="Q154" s="12" t="n"/>
      <c r="R154" s="12" t="n"/>
      <c r="S154" s="12" t="n"/>
      <c r="T154" s="12" t="n"/>
      <c r="U154" s="12" t="n"/>
      <c r="V154" s="12" t="n"/>
      <c r="W154" s="12" t="n"/>
      <c r="X154" s="12" t="n"/>
      <c r="Y154" s="12" t="n"/>
      <c r="Z154" s="12" t="inlineStr">
        <is>
          <t>[AUDIT_v5_EXCLUDE: EC2] Dikeluarkan dari korpus MCP-spesifik oleh audit reviewer kedua v5. (audit lanjutan; diterima koordinator) | Catatan lama: Studi audit empiris skala besar terhadap permukaan instruksi dan artefak konfigurasi pada 509 repositori sistem agen MCP.</t>
        </is>
      </c>
      <c r="AA154" s="12">
        <f>IF(I154="","",IF(OR(I154="attack",I154="survey_review",I154="benchmark_measurement",I154="position_other",I154="not_defense"),"n/a",IF(OR(X154="spec_normatif",X154="produksi_bukti_publik"),"L3",IF(ISNUMBER(SEARCH("independent",R154)),"L2",IF(R154="author_run","L1",IF(R154="none","L0",""))))))</f>
        <v/>
      </c>
      <c r="AB154" s="12">
        <f>IF(I154="","",IF(AND(K154="deterministic_policy",M154="ya"),"PERIKSA: deterministic_policy tetapi LLM/ML ada dalam keputusan. ","")&amp;IF(AND(U154="ya",V154=""),"PERIKSA: adaptif=ya wajib ada kutipan. ","")&amp;IF(AND(R154="none",U154&lt;&gt;"n/a_tanpa_evaluasi",U154&lt;&gt;""),"PERIKSA: tanpa evaluasi, adaptif harus n/a. ","")&amp;IF(AND(OR(R154="author_run",R154="author_run+independent",R154="independent_only"),Q154=""),"PERIKSA: isi kelas_dievaluasi. ","")&amp;IF(AND(OR(R154="author_run",R154="author_run+independent",R154="independent_only"),W154=""),"PERIKSA: isi lokasi_bukti. ","")&amp;IF(AND(H154="tidak",R154&lt;&gt;""),"PERIKSA: tanpa teks lengkap, kosongkan kolom evaluasi. ",""))</f>
        <v/>
      </c>
      <c r="AC154" s="14" t="inlineStr">
        <is>
          <t>exclude</t>
        </is>
      </c>
      <c r="AD154" s="14" t="inlineStr">
        <is>
          <t>EC2</t>
        </is>
      </c>
      <c r="AE154" s="14" t="inlineStr">
        <is>
          <t>audit lanjutan; diterima koordinator</t>
        </is>
      </c>
    </row>
    <row r="155" ht="23.25" customHeight="1" s="21">
      <c r="A155" s="8" t="inlineStr">
        <is>
          <t>shiva-2025-systematization-knowledge-security-safety-model</t>
        </is>
      </c>
      <c r="B155" s="8" t="inlineStr">
        <is>
          <t>Systematization of Knowledge: Security and Safety in the Model Context Protocol Ecosystem</t>
        </is>
      </c>
      <c r="C155" s="8" t="n">
        <v>2025</v>
      </c>
      <c r="D155" s="8" t="inlineStr">
        <is>
          <t>E1</t>
        </is>
      </c>
      <c r="E155" s="8" t="inlineStr">
        <is>
          <t>scan_cepat</t>
        </is>
      </c>
      <c r="F155" s="8" t="inlineStr">
        <is>
          <t>none</t>
        </is>
      </c>
      <c r="G155" s="9" t="inlineStr">
        <is>
          <t>https://arxiv.org/abs/2512.08290</t>
        </is>
      </c>
      <c r="H155" s="10" t="n"/>
      <c r="I155" s="10" t="inlineStr">
        <is>
          <t>survey_review</t>
        </is>
      </c>
      <c r="J155" s="10" t="n"/>
      <c r="K155" s="10" t="n"/>
      <c r="L155" s="10" t="n"/>
      <c r="M155" s="10" t="n"/>
      <c r="N155" s="10" t="n"/>
      <c r="O155" s="10" t="n"/>
      <c r="P155" s="10" t="n"/>
      <c r="Q155" s="10" t="n"/>
      <c r="R155" s="10" t="n"/>
      <c r="S155" s="10" t="n"/>
      <c r="T155" s="10" t="n"/>
      <c r="U155" s="10" t="n"/>
      <c r="V155" s="10" t="n"/>
      <c r="W155" s="10" t="n"/>
      <c r="X155" s="10" t="n"/>
      <c r="Y155" s="10" t="n"/>
      <c r="Z155" s="10" t="inlineStr">
        <is>
          <t>Telaah sistematis komprehensif / Systematization of Knowledge (SoK) mengenai taksonomi risiko keamanan dan keselamatan pada MCP.</t>
        </is>
      </c>
      <c r="AA155" s="11">
        <f>IF(I155="","",IF(OR(I155="attack",I155="survey_review",I155="benchmark_measurement",I155="position_other",I155="not_defense"),"n/a",IF(OR(X155="spec_normatif",X155="produksi_bukti_publik"),"L3",IF(ISNUMBER(SEARCH("independent",R155)),"L2",IF(R155="author_run","L1",IF(R155="none","L0",""))))))</f>
        <v/>
      </c>
      <c r="AB155" s="11">
        <f>IF(I155="","",IF(AND(K155="deterministic_policy",M155="ya"),"PERIKSA: deterministic_policy tetapi LLM/ML ada dalam keputusan. ","")&amp;IF(AND(U155="ya",V155=""),"PERIKSA: adaptif=ya wajib ada kutipan. ","")&amp;IF(AND(R155="none",U155&lt;&gt;"n/a_tanpa_evaluasi",U155&lt;&gt;""),"PERIKSA: tanpa evaluasi, adaptif harus n/a. ","")&amp;IF(AND(OR(R155="author_run",R155="author_run+independent",R155="independent_only"),Q155=""),"PERIKSA: isi kelas_dievaluasi. ","")&amp;IF(AND(OR(R155="author_run",R155="author_run+independent",R155="independent_only"),W155=""),"PERIKSA: isi lokasi_bukti. ","")&amp;IF(AND(H155="tidak",R155&lt;&gt;""),"PERIKSA: tanpa teks lengkap, kosongkan kolom evaluasi. ",""))</f>
        <v/>
      </c>
      <c r="AC155" t="inlineStr">
        <is>
          <t>include</t>
        </is>
      </c>
    </row>
    <row r="156" ht="23.25" customHeight="1" s="21">
      <c r="A156" s="8" t="inlineStr">
        <is>
          <t>shuli-2025-parasites-toolchain-large-scale-analysis</t>
        </is>
      </c>
      <c r="B156" s="8" t="inlineStr">
        <is>
          <t>Parasites in the Toolchain: A Large-Scale Analysis of Attacks on the MCP Ecosystem</t>
        </is>
      </c>
      <c r="C156" s="8" t="n">
        <v>2025</v>
      </c>
      <c r="D156" s="8" t="inlineStr">
        <is>
          <t>E1</t>
        </is>
      </c>
      <c r="E156" s="8" t="inlineStr">
        <is>
          <t>scan_cepat</t>
        </is>
      </c>
      <c r="F156" s="8" t="inlineStr">
        <is>
          <t>none</t>
        </is>
      </c>
      <c r="G156" s="9" t="inlineStr">
        <is>
          <t>https://arxiv.org/abs/2509.06572</t>
        </is>
      </c>
      <c r="H156" s="10" t="n"/>
      <c r="I156" s="10" t="inlineStr">
        <is>
          <t>attack</t>
        </is>
      </c>
      <c r="J156" s="10" t="n"/>
      <c r="K156" s="10" t="n"/>
      <c r="L156" s="10" t="n"/>
      <c r="M156" s="10" t="n"/>
      <c r="N156" s="10" t="n"/>
      <c r="O156" s="10" t="n"/>
      <c r="P156" s="10" t="n"/>
      <c r="Q156" s="10" t="n"/>
      <c r="R156" s="10" t="n"/>
      <c r="S156" s="10" t="n"/>
      <c r="T156" s="10" t="n"/>
      <c r="U156" s="10" t="n"/>
      <c r="V156" s="10" t="n"/>
      <c r="W156" s="10" t="n"/>
      <c r="X156" s="10" t="n"/>
      <c r="Y156" s="10" t="n"/>
      <c r="Z156" s="10" t="inlineStr">
        <is>
          <t>Identifikasi teknik serangan baru Parasitic Toolchain Attack (MCP-UPD) dan analisis eksploitasi rantai tool pada ekosistem MCP.</t>
        </is>
      </c>
      <c r="AA156" s="11">
        <f>IF(I156="","",IF(OR(I156="attack",I156="survey_review",I156="benchmark_measurement",I156="position_other",I156="not_defense"),"n/a",IF(OR(X156="spec_normatif",X156="produksi_bukti_publik"),"L3",IF(ISNUMBER(SEARCH("independent",R156)),"L2",IF(R156="author_run","L1",IF(R156="none","L0",""))))))</f>
        <v/>
      </c>
      <c r="AB156" s="11">
        <f>IF(I156="","",IF(AND(K156="deterministic_policy",M156="ya"),"PERIKSA: deterministic_policy tetapi LLM/ML ada dalam keputusan. ","")&amp;IF(AND(U156="ya",V156=""),"PERIKSA: adaptif=ya wajib ada kutipan. ","")&amp;IF(AND(R156="none",U156&lt;&gt;"n/a_tanpa_evaluasi",U156&lt;&gt;""),"PERIKSA: tanpa evaluasi, adaptif harus n/a. ","")&amp;IF(AND(OR(R156="author_run",R156="author_run+independent",R156="independent_only"),Q156=""),"PERIKSA: isi kelas_dievaluasi. ","")&amp;IF(AND(OR(R156="author_run",R156="author_run+independent",R156="independent_only"),W156=""),"PERIKSA: isi lokasi_bukti. ","")&amp;IF(AND(H156="tidak",R156&lt;&gt;""),"PERIKSA: tanpa teks lengkap, kosongkan kolom evaluasi. ",""))</f>
        <v/>
      </c>
      <c r="AC156" t="inlineStr">
        <is>
          <t>include</t>
        </is>
      </c>
    </row>
    <row r="157" ht="23.25" customHeight="1" s="21">
      <c r="A157" s="8" t="inlineStr">
        <is>
          <t>strahinja-2025-hiding-ai-traffic-abusing-mcp</t>
        </is>
      </c>
      <c r="B157" s="8" t="inlineStr">
        <is>
          <t>Hiding in the AI Traffic: Abusing MCP for LLM-Powered Agentic Red Teaming</t>
        </is>
      </c>
      <c r="C157" s="8" t="n">
        <v>2025</v>
      </c>
      <c r="D157" s="8" t="inlineStr">
        <is>
          <t>E2</t>
        </is>
      </c>
      <c r="E157" s="8" t="inlineStr">
        <is>
          <t>scan_cepat</t>
        </is>
      </c>
      <c r="F157" s="8" t="inlineStr">
        <is>
          <t>none</t>
        </is>
      </c>
      <c r="G157" s="9" t="inlineStr">
        <is>
          <t>https://arxiv.org/abs/2511.15998</t>
        </is>
      </c>
      <c r="H157" s="10" t="n"/>
      <c r="I157" s="10" t="inlineStr">
        <is>
          <t>attack</t>
        </is>
      </c>
      <c r="J157" s="10" t="n"/>
      <c r="K157" s="10" t="n"/>
      <c r="L157" s="10" t="n"/>
      <c r="M157" s="10" t="n"/>
      <c r="N157" s="10" t="n"/>
      <c r="O157" s="10" t="n"/>
      <c r="P157" s="10" t="n"/>
      <c r="Q157" s="10" t="n"/>
      <c r="R157" s="10" t="n"/>
      <c r="S157" s="10" t="n"/>
      <c r="T157" s="10" t="n"/>
      <c r="U157" s="10" t="n"/>
      <c r="V157" s="10" t="n"/>
      <c r="W157" s="10" t="n"/>
      <c r="X157" s="10" t="n"/>
      <c r="Y157" s="10" t="n"/>
      <c r="Z157" s="10" t="inlineStr">
        <is>
          <t>Perancangan arsitektur ofensif Command &amp; Control (C2) yang menyalahgunakan protokol MCP untuk red-teaming siluman.</t>
        </is>
      </c>
      <c r="AA157" s="11">
        <f>IF(I157="","",IF(OR(I157="attack",I157="survey_review",I157="benchmark_measurement",I157="position_other",I157="not_defense"),"n/a",IF(OR(X157="spec_normatif",X157="produksi_bukti_publik"),"L3",IF(ISNUMBER(SEARCH("independent",R157)),"L2",IF(R157="author_run","L1",IF(R157="none","L0",""))))))</f>
        <v/>
      </c>
      <c r="AB157" s="11">
        <f>IF(I157="","",IF(AND(K157="deterministic_policy",M157="ya"),"PERIKSA: deterministic_policy tetapi LLM/ML ada dalam keputusan. ","")&amp;IF(AND(U157="ya",V157=""),"PERIKSA: adaptif=ya wajib ada kutipan. ","")&amp;IF(AND(R157="none",U157&lt;&gt;"n/a_tanpa_evaluasi",U157&lt;&gt;""),"PERIKSA: tanpa evaluasi, adaptif harus n/a. ","")&amp;IF(AND(OR(R157="author_run",R157="author_run+independent",R157="independent_only"),Q157=""),"PERIKSA: isi kelas_dievaluasi. ","")&amp;IF(AND(OR(R157="author_run",R157="author_run+independent",R157="independent_only"),W157=""),"PERIKSA: isi lokasi_bukti. ","")&amp;IF(AND(H157="tidak",R157&lt;&gt;""),"PERIKSA: tanpa teks lengkap, kosongkan kolom evaluasi. ",""))</f>
        <v/>
      </c>
      <c r="AC157" t="inlineStr">
        <is>
          <t>include</t>
        </is>
      </c>
    </row>
    <row r="158" ht="34.5" customHeight="1" s="21">
      <c r="A158" s="12" t="inlineStr">
        <is>
          <t>sultan-2026-content-aware-attack-detection-llm</t>
        </is>
      </c>
      <c r="B158" s="12" t="inlineStr">
        <is>
          <t>Content-Aware Attack Detection in LLM Agent Tool-Call Traffic: An Empirical Study of Features, Architectures, and Evaluation Protocols</t>
        </is>
      </c>
      <c r="C158" s="12" t="n">
        <v>2026</v>
      </c>
      <c r="D158" s="12" t="inlineStr">
        <is>
          <t>E2</t>
        </is>
      </c>
      <c r="E158" s="12" t="inlineStr">
        <is>
          <t>scan_cepat</t>
        </is>
      </c>
      <c r="F158" s="12" t="inlineStr">
        <is>
          <t>none</t>
        </is>
      </c>
      <c r="G158" s="13" t="inlineStr">
        <is>
          <t>https://arxiv.org/abs/2605.11053</t>
        </is>
      </c>
      <c r="H158" s="12" t="inlineStr">
        <is>
          <t>tidak</t>
        </is>
      </c>
      <c r="I158" s="12" t="inlineStr">
        <is>
          <t>not_defense</t>
        </is>
      </c>
      <c r="J158" s="12" t="n"/>
      <c r="K158" s="12" t="n"/>
      <c r="L158" s="12" t="n"/>
      <c r="M158" s="12" t="n"/>
      <c r="N158" s="12" t="n"/>
      <c r="O158" s="12" t="n"/>
      <c r="P158" s="12" t="n"/>
      <c r="Q158" s="12" t="n"/>
      <c r="R158" s="12" t="n"/>
      <c r="S158" s="12" t="n"/>
      <c r="T158" s="12" t="n"/>
      <c r="U158" s="12" t="n"/>
      <c r="V158" s="12" t="n"/>
      <c r="W158" s="12" t="n"/>
      <c r="X158" s="12" t="n"/>
      <c r="Y158" s="12" t="n"/>
      <c r="Z158" s="12" t="inlineStr">
        <is>
          <t>[AUDIT_v5_EXCLUDE: EC2] Dikeluarkan dari korpus MCP-spesifik oleh audit reviewer kedua v5 (peran sebelumnya defense_primary didemotasi karena di luar korpus MCP). (audit lanjutan; aturan A1) | Catatan lama: TERDETEKSI_PERTAHANAN: Naikkan ke telaah teks lengkap - Mengembangkan dan mengevaluasi kerangka kerja detektor serangan berbasis graf dan embedding isi pada lalu lintas pemanggilan tool MCP.</t>
        </is>
      </c>
      <c r="AA158" s="12">
        <f>IF(I158="","",IF(OR(I158="attack",I158="survey_review",I158="benchmark_measurement",I158="position_other",I158="not_defense"),"n/a",IF(OR(X158="spec_normatif",X158="produksi_bukti_publik"),"L3",IF(ISNUMBER(SEARCH("independent",R158)),"L2",IF(R158="author_run","L1",IF(R158="none","L0",""))))))</f>
        <v/>
      </c>
      <c r="AB158" s="12">
        <f>IF(I158="","",IF(AND(K158="deterministic_policy",M158="ya"),"PERIKSA: deterministic_policy tetapi LLM/ML ada dalam keputusan. ","")&amp;IF(AND(U158="ya",V158=""),"PERIKSA: adaptif=ya wajib ada kutipan. ","")&amp;IF(AND(R158="none",U158&lt;&gt;"n/a_tanpa_evaluasi",U158&lt;&gt;""),"PERIKSA: tanpa evaluasi, adaptif harus n/a. ","")&amp;IF(AND(OR(R158="author_run",R158="author_run+independent",R158="independent_only"),Q158=""),"PERIKSA: isi kelas_dievaluasi. ","")&amp;IF(AND(OR(R158="author_run",R158="author_run+independent",R158="independent_only"),W158=""),"PERIKSA: isi lokasi_bukti. ","")&amp;IF(AND(H158="tidak",R158&lt;&gt;""),"PERIKSA: tanpa teks lengkap, kosongkan kolom evaluasi. ",""))</f>
        <v/>
      </c>
      <c r="AC158" s="14" t="inlineStr">
        <is>
          <t>exclude</t>
        </is>
      </c>
      <c r="AD158" s="14" t="inlineStr">
        <is>
          <t>EC2</t>
        </is>
      </c>
      <c r="AE158" s="14" t="inlineStr">
        <is>
          <t>audit lanjutan; aturan A1</t>
        </is>
      </c>
    </row>
    <row r="159" ht="23.25" customHeight="1" s="21">
      <c r="A159" s="8" t="inlineStr">
        <is>
          <t>sunil-2026-aip-agent-identity-protocol-verifiable</t>
        </is>
      </c>
      <c r="B159" s="8" t="inlineStr">
        <is>
          <t>AIP: Agent Identity Protocol for Verifiable Delegation Across MCP and A2A</t>
        </is>
      </c>
      <c r="C159" s="8" t="n">
        <v>2026</v>
      </c>
      <c r="D159" s="8" t="inlineStr">
        <is>
          <t>E2</t>
        </is>
      </c>
      <c r="E159" s="8" t="inlineStr">
        <is>
          <t>scan_cepat</t>
        </is>
      </c>
      <c r="F159" s="8" t="inlineStr">
        <is>
          <t>none</t>
        </is>
      </c>
      <c r="G159" s="9" t="inlineStr">
        <is>
          <t>https://arxiv.org/abs/2603.24775</t>
        </is>
      </c>
      <c r="H159" s="10" t="inlineStr">
        <is>
          <t>ya</t>
        </is>
      </c>
      <c r="I159" s="10" t="inlineStr">
        <is>
          <t>defense_primary</t>
        </is>
      </c>
      <c r="J159" s="10" t="inlineStr">
        <is>
          <t>AIP</t>
        </is>
      </c>
      <c r="K159" s="10" t="inlineStr">
        <is>
          <t>capability_or_token</t>
        </is>
      </c>
      <c r="L159" s="10" t="inlineStr">
        <is>
          <t>Protokol identitas agen (AIP) dengan pendelegasian terverifikasi kunci publik, atenuasi hak akses berbasis pemegang, dan pengikatan transport MCP untuk mencegah peniruan identitas agen.</t>
        </is>
      </c>
      <c r="M159" s="10" t="inlineStr">
        <is>
          <t>tidak</t>
        </is>
      </c>
      <c r="N159" s="10" t="inlineStr">
        <is>
          <t>gateway_proxy</t>
        </is>
      </c>
      <c r="O159" s="10" t="inlineStr">
        <is>
          <t>R1;R3;R4</t>
        </is>
      </c>
      <c r="P159" s="10" t="inlineStr">
        <is>
          <t>C1;C2;C3</t>
        </is>
      </c>
      <c r="Q159" s="10" t="inlineStr">
        <is>
          <t>C1;C2;C3</t>
        </is>
      </c>
      <c r="R159" s="10" t="inlineStr">
        <is>
          <t>author_run</t>
        </is>
      </c>
      <c r="S159" s="10" t="n"/>
      <c r="T159" s="10" t="inlineStr">
        <is>
          <t>authors_own</t>
        </is>
      </c>
      <c r="U159" s="10" t="inlineStr">
        <is>
          <t>tidak</t>
        </is>
      </c>
      <c r="V159" s="10" t="n"/>
      <c r="W159" s="10" t="inlineStr">
        <is>
          <t>Sec. 5, Table 1-3, hal. 11-13</t>
        </is>
      </c>
      <c r="X159" s="10" t="inlineStr">
        <is>
          <t>prototype_open_source</t>
        </is>
      </c>
      <c r="Y159" s="10" t="inlineStr">
        <is>
          <t>dilaporkan: overhead sub-milidetik pada HTTP riil (Sec. 5.2)</t>
        </is>
      </c>
      <c r="Z159" s="10" t="inlineStr">
        <is>
          <t>Protokol AIP untuk identitas agen dan delegasi berantai terverifikasi kriptografis pada MCP. Repositori/artefak: https://github.com/sunilp/aip.</t>
        </is>
      </c>
      <c r="AA159" s="11">
        <f>IF(I159="","",IF(OR(I159="attack",I159="survey_review",I159="benchmark_measurement",I159="position_other",I159="not_defense"),"n/a",IF(OR(X159="spec_normatif",X159="produksi_bukti_publik"),"L3",IF(ISNUMBER(SEARCH("independent",R159)),"L2",IF(R159="author_run","L1",IF(R159="none","L0",""))))))</f>
        <v/>
      </c>
      <c r="AB159" s="11">
        <f>IF(I159="","",IF(AND(K159="deterministic_policy",M159="ya"),"PERIKSA: deterministic_policy tetapi LLM/ML ada dalam keputusan. ","")&amp;IF(AND(U159="ya",V159=""),"PERIKSA: adaptif=ya wajib ada kutipan. ","")&amp;IF(AND(R159="none",U159&lt;&gt;"n/a_tanpa_evaluasi",U159&lt;&gt;""),"PERIKSA: tanpa evaluasi, adaptif harus n/a. ","")&amp;IF(AND(OR(R159="author_run",R159="author_run+independent",R159="independent_only"),Q159=""),"PERIKSA: isi kelas_dievaluasi. ","")&amp;IF(AND(OR(R159="author_run",R159="author_run+independent",R159="independent_only"),W159=""),"PERIKSA: isi lokasi_bukti. ","")&amp;IF(AND(H159="tidak",R159&lt;&gt;""),"PERIKSA: tanpa teks lengkap, kosongkan kolom evaluasi. ",""))</f>
        <v/>
      </c>
      <c r="AC159" t="inlineStr">
        <is>
          <t>include</t>
        </is>
      </c>
    </row>
    <row r="160" ht="23.25" customHeight="1" s="21">
      <c r="A160" s="12" t="inlineStr">
        <is>
          <t>surya-2025-bridging-ai-external-systems-comprehensive</t>
        </is>
      </c>
      <c r="B160" s="12" t="inlineStr">
        <is>
          <t>Bridging AI and External Systems: A Comprehensive Analysis of the Model Context Protocol (MCP)</t>
        </is>
      </c>
      <c r="C160" s="12" t="n">
        <v>2025</v>
      </c>
      <c r="D160" s="12" t="inlineStr">
        <is>
          <t>E2</t>
        </is>
      </c>
      <c r="E160" s="12" t="inlineStr">
        <is>
          <t>scan_cepat</t>
        </is>
      </c>
      <c r="F160" s="12" t="inlineStr">
        <is>
          <t>none</t>
        </is>
      </c>
      <c r="G160" s="13" t="inlineStr">
        <is>
          <t>https://doi.org/10.22541/au.175555093.31837381/v1</t>
        </is>
      </c>
      <c r="H160" s="12" t="n"/>
      <c r="I160" s="12" t="inlineStr">
        <is>
          <t>position_other</t>
        </is>
      </c>
      <c r="J160" s="12" t="n"/>
      <c r="K160" s="12" t="n"/>
      <c r="L160" s="12" t="n"/>
      <c r="M160" s="12" t="n"/>
      <c r="N160" s="12" t="n"/>
      <c r="O160" s="12" t="n"/>
      <c r="P160" s="12" t="n"/>
      <c r="Q160" s="12" t="n"/>
      <c r="R160" s="12" t="n"/>
      <c r="S160" s="12" t="n"/>
      <c r="T160" s="12" t="n"/>
      <c r="U160" s="12" t="n"/>
      <c r="V160" s="12" t="n"/>
      <c r="W160" s="12" t="n"/>
      <c r="X160" s="12" t="n"/>
      <c r="Y160" s="12" t="n"/>
      <c r="Z160" s="12" t="inlineStr">
        <is>
          <t>[AUDIT_v5_EXCLUDE: EC1] Dikeluarkan dari korpus MCP-spesifik oleh audit reviewer kedua v5. (audit lanjutan; diterima koordinator) | Catatan lama: Makalah posisi konseptual yang menganalisis arsitektur dasar dan kasus penggunaan integrasi MCP tanpa mekanisme penegakan baru.</t>
        </is>
      </c>
      <c r="AA160" s="12">
        <f>IF(I160="","",IF(OR(I160="attack",I160="survey_review",I160="benchmark_measurement",I160="position_other",I160="not_defense"),"n/a",IF(OR(X160="spec_normatif",X160="produksi_bukti_publik"),"L3",IF(ISNUMBER(SEARCH("independent",R160)),"L2",IF(R160="author_run","L1",IF(R160="none","L0",""))))))</f>
        <v/>
      </c>
      <c r="AB160" s="12">
        <f>IF(I160="","",IF(AND(K160="deterministic_policy",M160="ya"),"PERIKSA: deterministic_policy tetapi LLM/ML ada dalam keputusan. ","")&amp;IF(AND(U160="ya",V160=""),"PERIKSA: adaptif=ya wajib ada kutipan. ","")&amp;IF(AND(R160="none",U160&lt;&gt;"n/a_tanpa_evaluasi",U160&lt;&gt;""),"PERIKSA: tanpa evaluasi, adaptif harus n/a. ","")&amp;IF(AND(OR(R160="author_run",R160="author_run+independent",R160="independent_only"),Q160=""),"PERIKSA: isi kelas_dievaluasi. ","")&amp;IF(AND(OR(R160="author_run",R160="author_run+independent",R160="independent_only"),W160=""),"PERIKSA: isi lokasi_bukti. ","")&amp;IF(AND(H160="tidak",R160&lt;&gt;""),"PERIKSA: tanpa teks lengkap, kosongkan kolom evaluasi. ",""))</f>
        <v/>
      </c>
      <c r="AC160" s="14" t="inlineStr">
        <is>
          <t>exclude</t>
        </is>
      </c>
      <c r="AD160" s="14" t="inlineStr">
        <is>
          <t>EC1</t>
        </is>
      </c>
      <c r="AE160" s="14" t="inlineStr">
        <is>
          <t>audit lanjutan; diterima koordinator</t>
        </is>
      </c>
    </row>
    <row r="161" ht="23.25" customHeight="1" s="21">
      <c r="A161" s="8" t="inlineStr">
        <is>
          <t>taein-2026-evaluating-tool-cloning-agentic-ai</t>
        </is>
      </c>
      <c r="B161" s="8" t="inlineStr">
        <is>
          <t>Evaluating Tool Cloning in Agentic-AI Ecosystems</t>
        </is>
      </c>
      <c r="C161" s="8" t="n">
        <v>2026</v>
      </c>
      <c r="D161" s="8" t="inlineStr">
        <is>
          <t>E2</t>
        </is>
      </c>
      <c r="E161" s="8" t="inlineStr">
        <is>
          <t>scan_cepat</t>
        </is>
      </c>
      <c r="F161" s="8" t="inlineStr">
        <is>
          <t>none</t>
        </is>
      </c>
      <c r="G161" s="9" t="inlineStr">
        <is>
          <t>https://arxiv.org/abs/2605.09817</t>
        </is>
      </c>
      <c r="H161" s="10" t="n"/>
      <c r="I161" s="10" t="inlineStr">
        <is>
          <t>benchmark_measurement</t>
        </is>
      </c>
      <c r="J161" s="10" t="n"/>
      <c r="K161" s="10" t="n"/>
      <c r="L161" s="10" t="n"/>
      <c r="M161" s="10" t="n"/>
      <c r="N161" s="10" t="n"/>
      <c r="O161" s="10" t="n"/>
      <c r="P161" s="10" t="n"/>
      <c r="Q161" s="10" t="n"/>
      <c r="R161" s="10" t="n"/>
      <c r="S161" s="10" t="n"/>
      <c r="T161" s="10" t="n"/>
      <c r="U161" s="10" t="n"/>
      <c r="V161" s="10" t="n"/>
      <c r="W161" s="10" t="n"/>
      <c r="X161" s="10" t="n"/>
      <c r="Y161" s="10" t="n"/>
      <c r="Z161" s="10" t="inlineStr">
        <is>
          <t>Studi pengukuran empiris fenomena duplikasi dan kloning kode tool pada 7.508 repositori ekosistem MCP.</t>
        </is>
      </c>
      <c r="AA161" s="11">
        <f>IF(I161="","",IF(OR(I161="attack",I161="survey_review",I161="benchmark_measurement",I161="position_other",I161="not_defense"),"n/a",IF(OR(X161="spec_normatif",X161="produksi_bukti_publik"),"L3",IF(ISNUMBER(SEARCH("independent",R161)),"L2",IF(R161="author_run","L1",IF(R161="none","L0",""))))))</f>
        <v/>
      </c>
      <c r="AB161" s="11">
        <f>IF(I161="","",IF(AND(K161="deterministic_policy",M161="ya"),"PERIKSA: deterministic_policy tetapi LLM/ML ada dalam keputusan. ","")&amp;IF(AND(U161="ya",V161=""),"PERIKSA: adaptif=ya wajib ada kutipan. ","")&amp;IF(AND(R161="none",U161&lt;&gt;"n/a_tanpa_evaluasi",U161&lt;&gt;""),"PERIKSA: tanpa evaluasi, adaptif harus n/a. ","")&amp;IF(AND(OR(R161="author_run",R161="author_run+independent",R161="independent_only"),Q161=""),"PERIKSA: isi kelas_dievaluasi. ","")&amp;IF(AND(OR(R161="author_run",R161="author_run+independent",R161="independent_only"),W161=""),"PERIKSA: isi lokasi_bukti. ","")&amp;IF(AND(H161="tidak",R161&lt;&gt;""),"PERIKSA: tanpa teks lengkap, kosongkan kolom evaluasi. ",""))</f>
        <v/>
      </c>
      <c r="AC161" t="inlineStr">
        <is>
          <t>include</t>
        </is>
      </c>
    </row>
    <row r="162" ht="23.25" customHeight="1" s="21">
      <c r="A162" s="12" t="inlineStr">
        <is>
          <t>thamilvendhan-2026-memorywire-vendor-neutral-wire-format</t>
        </is>
      </c>
      <c r="B162" s="12" t="inlineStr">
        <is>
          <t>memorywire: A Vendor-Neutral Wire Format for Agent Memory Operations</t>
        </is>
      </c>
      <c r="C162" s="12" t="n">
        <v>2026</v>
      </c>
      <c r="D162" s="12" t="inlineStr">
        <is>
          <t>E2</t>
        </is>
      </c>
      <c r="E162" s="12" t="inlineStr">
        <is>
          <t>scan_cepat</t>
        </is>
      </c>
      <c r="F162" s="12" t="inlineStr">
        <is>
          <t>none</t>
        </is>
      </c>
      <c r="G162" s="13" t="inlineStr">
        <is>
          <t>https://arxiv.org/abs/2606.01138</t>
        </is>
      </c>
      <c r="H162" s="12" t="n"/>
      <c r="I162" s="12" t="inlineStr">
        <is>
          <t>not_defense</t>
        </is>
      </c>
      <c r="J162" s="12" t="n"/>
      <c r="K162" s="12" t="n"/>
      <c r="L162" s="12" t="n"/>
      <c r="M162" s="12" t="n"/>
      <c r="N162" s="12" t="n"/>
      <c r="O162" s="12" t="n"/>
      <c r="P162" s="12" t="n"/>
      <c r="Q162" s="12" t="n"/>
      <c r="R162" s="12" t="n"/>
      <c r="S162" s="12" t="n"/>
      <c r="T162" s="12" t="n"/>
      <c r="U162" s="12" t="n"/>
      <c r="V162" s="12" t="n"/>
      <c r="W162" s="12" t="n"/>
      <c r="X162" s="12" t="n"/>
      <c r="Y162" s="12" t="n"/>
      <c r="Z162" s="12" t="inlineStr">
        <is>
          <t>[AUDIT_v5_EXCLUDE: EC1] Dikeluarkan dari korpus MCP-spesifik oleh audit reviewer kedua v5. (dikeluarkan setelah audit reviewer kedua + rekonsiliasi) | Catatan lama: Protokol penyimpanan memori agen dengan wrapper MCP semata-mata antarmuka integrasi, bukan pertahanan sistem berbasis MCP -&gt; not_defense.</t>
        </is>
      </c>
      <c r="AA162" s="12">
        <f>IF(I162="","",IF(OR(I162="attack",I162="survey_review",I162="benchmark_measurement",I162="position_other",I162="not_defense"),"n/a",IF(OR(X162="spec_normatif",X162="produksi_bukti_publik"),"L3",IF(ISNUMBER(SEARCH("independent",R162)),"L2",IF(R162="author_run","L1",IF(R162="none","L0",""))))))</f>
        <v/>
      </c>
      <c r="AB162" s="12">
        <f>IF(I162="","",IF(AND(K162="deterministic_policy",M162="ya"),"PERIKSA: deterministic_policy tetapi LLM/ML ada dalam keputusan. ","")&amp;IF(AND(U162="ya",V162=""),"PERIKSA: adaptif=ya wajib ada kutipan. ","")&amp;IF(AND(R162="none",U162&lt;&gt;"n/a_tanpa_evaluasi",U162&lt;&gt;""),"PERIKSA: tanpa evaluasi, adaptif harus n/a. ","")&amp;IF(AND(OR(R162="author_run",R162="author_run+independent",R162="independent_only"),Q162=""),"PERIKSA: isi kelas_dievaluasi. ","")&amp;IF(AND(OR(R162="author_run",R162="author_run+independent",R162="independent_only"),W162=""),"PERIKSA: isi lokasi_bukti. ","")&amp;IF(AND(H162="tidak",R162&lt;&gt;""),"PERIKSA: tanpa teks lengkap, kosongkan kolom evaluasi. ",""))</f>
        <v/>
      </c>
      <c r="AC162" s="14" t="inlineStr">
        <is>
          <t>exclude</t>
        </is>
      </c>
      <c r="AD162" s="14" t="inlineStr">
        <is>
          <t>EC1</t>
        </is>
      </c>
      <c r="AE162" s="14" t="inlineStr">
        <is>
          <t>dikeluarkan setelah audit reviewer kedua + rekonsiliasi</t>
        </is>
      </c>
    </row>
    <row r="163" ht="23.25" customHeight="1" s="21">
      <c r="A163" s="8" t="inlineStr">
        <is>
          <t>ting-2026-tool-connection-execution-control-benchmarking</t>
        </is>
      </c>
      <c r="B163" s="8" t="inlineStr">
        <is>
          <t>From Tool Connection to Execution Control: Benchmarking Security Invariants in MCP-Style Agent Runtimes</t>
        </is>
      </c>
      <c r="C163" s="8" t="n">
        <v>2026</v>
      </c>
      <c r="D163" s="8" t="inlineStr">
        <is>
          <t>E2</t>
        </is>
      </c>
      <c r="E163" s="8" t="inlineStr">
        <is>
          <t>scan_cepat</t>
        </is>
      </c>
      <c r="F163" s="8" t="inlineStr">
        <is>
          <t>none</t>
        </is>
      </c>
      <c r="G163" s="9" t="inlineStr">
        <is>
          <t>https://arxiv.org/abs/2606.29073</t>
        </is>
      </c>
      <c r="H163" s="10" t="inlineStr">
        <is>
          <t>ya</t>
        </is>
      </c>
      <c r="I163" s="10" t="inlineStr">
        <is>
          <t>defense_primary</t>
        </is>
      </c>
      <c r="J163" s="10" t="inlineStr">
        <is>
          <t>HCP Runtime</t>
        </is>
      </c>
      <c r="K163" s="10" t="inlineStr">
        <is>
          <t>capability_or_token</t>
        </is>
      </c>
      <c r="L163" s="10" t="inlineStr">
        <is>
          <t>Runtime broker yang menegakkan 8 invarian keamanan (metadata non-authoritative, grant-backed approval, capability handle) untuk memisahkan koneksi tool dari kontrol eksekusi pada MCP.</t>
        </is>
      </c>
      <c r="M163" s="10" t="inlineStr">
        <is>
          <t>tidak</t>
        </is>
      </c>
      <c r="N163" s="10" t="inlineStr">
        <is>
          <t>gateway_proxy</t>
        </is>
      </c>
      <c r="O163" s="10" t="inlineStr">
        <is>
          <t>R1;R2;R3;R5</t>
        </is>
      </c>
      <c r="P163" s="10" t="inlineStr">
        <is>
          <t>A1;C1;C5;D1</t>
        </is>
      </c>
      <c r="Q163" s="10" t="inlineStr">
        <is>
          <t>A1;C1;C5;D1</t>
        </is>
      </c>
      <c r="R163" s="10" t="inlineStr">
        <is>
          <t>author_run</t>
        </is>
      </c>
      <c r="S163" s="10" t="n"/>
      <c r="T163" s="10" t="inlineStr">
        <is>
          <t>authors_own</t>
        </is>
      </c>
      <c r="U163" s="10" t="inlineStr">
        <is>
          <t>tidak</t>
        </is>
      </c>
      <c r="V163" s="10" t="n"/>
      <c r="W163" s="10" t="inlineStr">
        <is>
          <t>Sec. 7, Table 4 &amp; 6, hal. 8-11</t>
        </is>
      </c>
      <c r="X163" s="10" t="inlineStr">
        <is>
          <t>prototype_open_source</t>
        </is>
      </c>
      <c r="Y163" s="10" t="inlineStr">
        <is>
          <t>dilaporkan: overhead in-memory mikrodetik (Tabel 6)</t>
        </is>
      </c>
      <c r="Z163" s="10" t="inlineStr">
        <is>
          <t>HCP Runtime mengimplementasikan sistem broker berbasis capability handle dan invarian tata kelola eksekusi untuk MCP. Repositori/artefak: https://github.com/SymbolicLight-AGI/handle-capability-protocol.</t>
        </is>
      </c>
      <c r="AA163" s="11">
        <f>IF(I163="","",IF(OR(I163="attack",I163="survey_review",I163="benchmark_measurement",I163="position_other",I163="not_defense"),"n/a",IF(OR(X163="spec_normatif",X163="produksi_bukti_publik"),"L3",IF(ISNUMBER(SEARCH("independent",R163)),"L2",IF(R163="author_run","L1",IF(R163="none","L0",""))))))</f>
        <v/>
      </c>
      <c r="AB163" s="11">
        <f>IF(I163="","",IF(AND(K163="deterministic_policy",M163="ya"),"PERIKSA: deterministic_policy tetapi LLM/ML ada dalam keputusan. ","")&amp;IF(AND(U163="ya",V163=""),"PERIKSA: adaptif=ya wajib ada kutipan. ","")&amp;IF(AND(R163="none",U163&lt;&gt;"n/a_tanpa_evaluasi",U163&lt;&gt;""),"PERIKSA: tanpa evaluasi, adaptif harus n/a. ","")&amp;IF(AND(OR(R163="author_run",R163="author_run+independent",R163="independent_only"),Q163=""),"PERIKSA: isi kelas_dievaluasi. ","")&amp;IF(AND(OR(R163="author_run",R163="author_run+independent",R163="independent_only"),W163=""),"PERIKSA: isi lokasi_bukti. ","")&amp;IF(AND(H163="tidak",R163&lt;&gt;""),"PERIKSA: tanpa teks lengkap, kosongkan kolom evaluasi. ",""))</f>
        <v/>
      </c>
      <c r="AC163" t="inlineStr">
        <is>
          <t>include</t>
        </is>
      </c>
    </row>
    <row r="164" ht="23.25" customHeight="1" s="21">
      <c r="A164" s="8" t="inlineStr">
        <is>
          <t>upendra-2026-artificial-intelligence-model-context-protocol</t>
        </is>
      </c>
      <c r="B164" s="8" t="inlineStr">
        <is>
          <t>Artificial Intelligence - Model Context Protocol - Review of Real-World Security Threats</t>
        </is>
      </c>
      <c r="C164" s="8" t="n">
        <v>2026</v>
      </c>
      <c r="D164" s="8" t="inlineStr">
        <is>
          <t>E1</t>
        </is>
      </c>
      <c r="E164" s="8" t="inlineStr">
        <is>
          <t>scan_cepat</t>
        </is>
      </c>
      <c r="F164" s="8" t="inlineStr">
        <is>
          <t>none</t>
        </is>
      </c>
      <c r="G164" s="9" t="inlineStr">
        <is>
          <t>https://doi.org/10.61643/c38836</t>
        </is>
      </c>
      <c r="H164" s="10" t="n"/>
      <c r="I164" s="10" t="inlineStr">
        <is>
          <t>survey_review</t>
        </is>
      </c>
      <c r="J164" s="10" t="n"/>
      <c r="K164" s="10" t="n"/>
      <c r="L164" s="10" t="n"/>
      <c r="M164" s="10" t="n"/>
      <c r="N164" s="10" t="n"/>
      <c r="O164" s="10" t="n"/>
      <c r="P164" s="10" t="n"/>
      <c r="Q164" s="10" t="n"/>
      <c r="R164" s="10" t="n"/>
      <c r="S164" s="10" t="n"/>
      <c r="T164" s="10" t="n"/>
      <c r="U164" s="10" t="n"/>
      <c r="V164" s="10" t="n"/>
      <c r="W164" s="10" t="n"/>
      <c r="X164" s="10" t="n"/>
      <c r="Y164" s="10" t="n"/>
      <c r="Z164" s="10" t="inlineStr">
        <is>
          <t>Artikel telaah pustaka (review paper) konseptual mengenai dasar arsitektur dan kegunaan protokol MCP.</t>
        </is>
      </c>
      <c r="AA164" s="11">
        <f>IF(I164="","",IF(OR(I164="attack",I164="survey_review",I164="benchmark_measurement",I164="position_other",I164="not_defense"),"n/a",IF(OR(X164="spec_normatif",X164="produksi_bukti_publik"),"L3",IF(ISNUMBER(SEARCH("independent",R164)),"L2",IF(R164="author_run","L1",IF(R164="none","L0",""))))))</f>
        <v/>
      </c>
      <c r="AB164" s="11">
        <f>IF(I164="","",IF(AND(K164="deterministic_policy",M164="ya"),"PERIKSA: deterministic_policy tetapi LLM/ML ada dalam keputusan. ","")&amp;IF(AND(U164="ya",V164=""),"PERIKSA: adaptif=ya wajib ada kutipan. ","")&amp;IF(AND(R164="none",U164&lt;&gt;"n/a_tanpa_evaluasi",U164&lt;&gt;""),"PERIKSA: tanpa evaluasi, adaptif harus n/a. ","")&amp;IF(AND(OR(R164="author_run",R164="author_run+independent",R164="independent_only"),Q164=""),"PERIKSA: isi kelas_dievaluasi. ","")&amp;IF(AND(OR(R164="author_run",R164="author_run+independent",R164="independent_only"),W164=""),"PERIKSA: isi lokasi_bukti. ","")&amp;IF(AND(H164="tidak",R164&lt;&gt;""),"PERIKSA: tanpa teks lengkap, kosongkan kolom evaluasi. ",""))</f>
        <v/>
      </c>
      <c r="AC164" t="inlineStr">
        <is>
          <t>include</t>
        </is>
      </c>
    </row>
    <row r="165" ht="23.25" customHeight="1" s="21">
      <c r="A165" s="8" t="inlineStr">
        <is>
          <t>xiaofan-2025-first-look-security-issues-model</t>
        </is>
      </c>
      <c r="B165" s="8" t="inlineStr">
        <is>
          <t>A First Look at the Security Issues in the Model Context Protocol Ecosystem</t>
        </is>
      </c>
      <c r="C165" s="8" t="n">
        <v>2025</v>
      </c>
      <c r="D165" s="8" t="inlineStr">
        <is>
          <t>E1</t>
        </is>
      </c>
      <c r="E165" s="8" t="inlineStr">
        <is>
          <t>scan_cepat</t>
        </is>
      </c>
      <c r="F165" s="8" t="inlineStr">
        <is>
          <t>none</t>
        </is>
      </c>
      <c r="G165" s="9" t="inlineStr">
        <is>
          <t>https://arxiv.org/abs/2510.16558</t>
        </is>
      </c>
      <c r="H165" s="10" t="n"/>
      <c r="I165" s="10" t="inlineStr">
        <is>
          <t>benchmark_measurement</t>
        </is>
      </c>
      <c r="J165" s="10" t="n"/>
      <c r="K165" s="10" t="n"/>
      <c r="L165" s="10" t="n"/>
      <c r="M165" s="10" t="n"/>
      <c r="N165" s="10" t="n"/>
      <c r="O165" s="10" t="n"/>
      <c r="P165" s="10" t="n"/>
      <c r="Q165" s="10" t="n"/>
      <c r="R165" s="10" t="n"/>
      <c r="S165" s="10" t="n"/>
      <c r="T165" s="10" t="n"/>
      <c r="U165" s="10" t="n"/>
      <c r="V165" s="10" t="n"/>
      <c r="W165" s="10" t="n"/>
      <c r="X165" s="10" t="n"/>
      <c r="Y165" s="10" t="n"/>
      <c r="Z165" s="10" t="inlineStr">
        <is>
          <t>Studi pengukuran keamanan empiris lintas-entitas ekosistem MCP (klien, server, protokol) dengan alat audit statis MCPInspect pada 300+ server. Dikodekan sebagai benchmark_measurement sesuai Pedoman Bagian 3.</t>
        </is>
      </c>
      <c r="AA165" s="11">
        <f>IF(I165="","",IF(OR(I165="attack",I165="survey_review",I165="benchmark_measurement",I165="position_other",I165="not_defense"),"n/a",IF(OR(X165="spec_normatif",X165="produksi_bukti_publik"),"L3",IF(ISNUMBER(SEARCH("independent",R165)),"L2",IF(R165="author_run","L1",IF(R165="none","L0",""))))))</f>
        <v/>
      </c>
      <c r="AB165" s="11">
        <f>IF(I165="","",IF(AND(K165="deterministic_policy",M165="ya"),"PERIKSA: deterministic_policy tetapi LLM/ML ada dalam keputusan. ","")&amp;IF(AND(U165="ya",V165=""),"PERIKSA: adaptif=ya wajib ada kutipan. ","")&amp;IF(AND(R165="none",U165&lt;&gt;"n/a_tanpa_evaluasi",U165&lt;&gt;""),"PERIKSA: tanpa evaluasi, adaptif harus n/a. ","")&amp;IF(AND(OR(R165="author_run",R165="author_run+independent",R165="independent_only"),Q165=""),"PERIKSA: isi kelas_dievaluasi. ","")&amp;IF(AND(OR(R165="author_run",R165="author_run+independent",R165="independent_only"),W165=""),"PERIKSA: isi lokasi_bukti. ","")&amp;IF(AND(H165="tidak",R165&lt;&gt;""),"PERIKSA: tanpa teks lengkap, kosongkan kolom evaluasi. ",""))</f>
        <v/>
      </c>
      <c r="AC165" t="inlineStr">
        <is>
          <t>include</t>
        </is>
      </c>
    </row>
    <row r="166" ht="23.25" customHeight="1" s="21">
      <c r="A166" s="12" t="inlineStr">
        <is>
          <t>xinpeng-2025-cuckoo-attack-stealthy-persistent-attacks</t>
        </is>
      </c>
      <c r="B166" s="12" t="inlineStr">
        <is>
          <t>Cuckoo Attack: Stealthy and Persistent Attacks Against AI-IDE</t>
        </is>
      </c>
      <c r="C166" s="12" t="n">
        <v>2025</v>
      </c>
      <c r="D166" s="12" t="inlineStr">
        <is>
          <t>E2</t>
        </is>
      </c>
      <c r="E166" s="12" t="inlineStr">
        <is>
          <t>scan_cepat</t>
        </is>
      </c>
      <c r="F166" s="12" t="inlineStr">
        <is>
          <t>none</t>
        </is>
      </c>
      <c r="G166" s="13" t="inlineStr">
        <is>
          <t>https://arxiv.org/abs/2509.15572</t>
        </is>
      </c>
      <c r="H166" s="12" t="n"/>
      <c r="I166" s="12" t="inlineStr">
        <is>
          <t>attack</t>
        </is>
      </c>
      <c r="J166" s="12" t="n"/>
      <c r="K166" s="12" t="n"/>
      <c r="L166" s="12" t="n"/>
      <c r="M166" s="12" t="n"/>
      <c r="N166" s="12" t="n"/>
      <c r="O166" s="12" t="n"/>
      <c r="P166" s="12" t="n"/>
      <c r="Q166" s="12" t="n"/>
      <c r="R166" s="12" t="n"/>
      <c r="S166" s="12" t="n"/>
      <c r="T166" s="12" t="n"/>
      <c r="U166" s="12" t="n"/>
      <c r="V166" s="12" t="n"/>
      <c r="W166" s="12" t="n"/>
      <c r="X166" s="12" t="n"/>
      <c r="Y166" s="12" t="n"/>
      <c r="Z166" s="12" t="inlineStr">
        <is>
          <t>[AUDIT_v5_EXCLUDE: EC2] Dikeluarkan dari korpus MCP-spesifik oleh audit reviewer kedua v5. (dikeluarkan setelah audit reviewer kedua + rekonsiliasi) | Catatan lama: Perancangan teknik serangan persisten (Cuckoo Attack) melalui berkas konfigurasi AI-IDE dan pembajakan server MCP.</t>
        </is>
      </c>
      <c r="AA166" s="12">
        <f>IF(I166="","",IF(OR(I166="attack",I166="survey_review",I166="benchmark_measurement",I166="position_other",I166="not_defense"),"n/a",IF(OR(X166="spec_normatif",X166="produksi_bukti_publik"),"L3",IF(ISNUMBER(SEARCH("independent",R166)),"L2",IF(R166="author_run","L1",IF(R166="none","L0",""))))))</f>
        <v/>
      </c>
      <c r="AB166" s="12">
        <f>IF(I166="","",IF(AND(K166="deterministic_policy",M166="ya"),"PERIKSA: deterministic_policy tetapi LLM/ML ada dalam keputusan. ","")&amp;IF(AND(U166="ya",V166=""),"PERIKSA: adaptif=ya wajib ada kutipan. ","")&amp;IF(AND(R166="none",U166&lt;&gt;"n/a_tanpa_evaluasi",U166&lt;&gt;""),"PERIKSA: tanpa evaluasi, adaptif harus n/a. ","")&amp;IF(AND(OR(R166="author_run",R166="author_run+independent",R166="independent_only"),Q166=""),"PERIKSA: isi kelas_dievaluasi. ","")&amp;IF(AND(OR(R166="author_run",R166="author_run+independent",R166="independent_only"),W166=""),"PERIKSA: isi lokasi_bukti. ","")&amp;IF(AND(H166="tidak",R166&lt;&gt;""),"PERIKSA: tanpa teks lengkap, kosongkan kolom evaluasi. ",""))</f>
        <v/>
      </c>
      <c r="AC166" s="14" t="inlineStr">
        <is>
          <t>exclude</t>
        </is>
      </c>
      <c r="AD166" s="14" t="inlineStr">
        <is>
          <t>EC2</t>
        </is>
      </c>
      <c r="AE166" s="14" t="inlineStr">
        <is>
          <t>dikeluarkan setelah audit reviewer kedua + rekonsiliasi</t>
        </is>
      </c>
    </row>
    <row r="167" ht="23.25" customHeight="1" s="21">
      <c r="A167" s="8" t="inlineStr">
        <is>
          <t>xinyi-2026-unsafe-flow-uncovering-bidirectional-data</t>
        </is>
      </c>
      <c r="B167" s="8" t="inlineStr">
        <is>
          <t>Unsafe by Flow: Uncovering Bidirectional Data-Flow Risks in MCP Ecosystem</t>
        </is>
      </c>
      <c r="C167" s="8" t="n">
        <v>2026</v>
      </c>
      <c r="D167" s="8" t="inlineStr">
        <is>
          <t>E2</t>
        </is>
      </c>
      <c r="E167" s="8" t="inlineStr">
        <is>
          <t>scan_cepat</t>
        </is>
      </c>
      <c r="F167" s="8" t="inlineStr">
        <is>
          <t>none</t>
        </is>
      </c>
      <c r="G167" s="9" t="inlineStr">
        <is>
          <t>https://arxiv.org/abs/2605.07836</t>
        </is>
      </c>
      <c r="H167" s="10" t="inlineStr">
        <is>
          <t>ya</t>
        </is>
      </c>
      <c r="I167" s="10" t="inlineStr">
        <is>
          <t>defense_primary</t>
        </is>
      </c>
      <c r="J167" s="10" t="inlineStr">
        <is>
          <t>MCP-BiFlow</t>
        </is>
      </c>
      <c r="K167" s="10" t="inlineStr">
        <is>
          <t>content_inspection_static</t>
        </is>
      </c>
      <c r="L167" s="10" t="inlineStr">
        <is>
          <t>Penganalisis aliran data dua arah (MCP-BiFlow) yang melacak propagasi taint dari argumen peminta ke operasi sensitif serta paparan data tidak tepercaya pada output MCP.</t>
        </is>
      </c>
      <c r="M167" s="10" t="inlineStr">
        <is>
          <t>tidak</t>
        </is>
      </c>
      <c r="N167" s="10" t="inlineStr">
        <is>
          <t>offline_analysis</t>
        </is>
      </c>
      <c r="O167" s="10" t="inlineStr">
        <is>
          <t>R2;R5</t>
        </is>
      </c>
      <c r="P167" s="10" t="inlineStr">
        <is>
          <t>A2;C5;D1</t>
        </is>
      </c>
      <c r="Q167" s="10" t="inlineStr">
        <is>
          <t>A2;C5;D1</t>
        </is>
      </c>
      <c r="R167" s="10" t="inlineStr">
        <is>
          <t>author_run</t>
        </is>
      </c>
      <c r="S167" s="10" t="n"/>
      <c r="T167" s="10" t="inlineStr">
        <is>
          <t>third_party_public</t>
        </is>
      </c>
      <c r="U167" s="10" t="inlineStr">
        <is>
          <t>tidak</t>
        </is>
      </c>
      <c r="V167" s="10" t="n"/>
      <c r="W167" s="10" t="inlineStr">
        <is>
          <t>Sec. 4, Table 1-3, hal. 6-9</t>
        </is>
      </c>
      <c r="X167" s="10" t="inlineStr">
        <is>
          <t>none</t>
        </is>
      </c>
      <c r="Y167" s="10" t="inlineStr">
        <is>
          <t>dilaporkan: waktu analisis aliran data (Sec. 4)</t>
        </is>
      </c>
      <c r="Z167" s="10" t="inlineStr">
        <is>
          <t>MCP-BiFlow mengevaluasi deteksi aliran data dua arah pada 859 instans kerentanan server MCP riil. Catatan deployment: prototipe internal/eksperimental (belum dirilis secara publik).</t>
        </is>
      </c>
      <c r="AA167" s="11">
        <f>IF(I167="","",IF(OR(I167="attack",I167="survey_review",I167="benchmark_measurement",I167="position_other",I167="not_defense"),"n/a",IF(OR(X167="spec_normatif",X167="produksi_bukti_publik"),"L3",IF(ISNUMBER(SEARCH("independent",R167)),"L2",IF(R167="author_run","L1",IF(R167="none","L0",""))))))</f>
        <v/>
      </c>
      <c r="AB167" s="11">
        <f>IF(I167="","",IF(AND(K167="deterministic_policy",M167="ya"),"PERIKSA: deterministic_policy tetapi LLM/ML ada dalam keputusan. ","")&amp;IF(AND(U167="ya",V167=""),"PERIKSA: adaptif=ya wajib ada kutipan. ","")&amp;IF(AND(R167="none",U167&lt;&gt;"n/a_tanpa_evaluasi",U167&lt;&gt;""),"PERIKSA: tanpa evaluasi, adaptif harus n/a. ","")&amp;IF(AND(OR(R167="author_run",R167="author_run+independent",R167="independent_only"),Q167=""),"PERIKSA: isi kelas_dievaluasi. ","")&amp;IF(AND(OR(R167="author_run",R167="author_run+independent",R167="independent_only"),W167=""),"PERIKSA: isi lokasi_bukti. ","")&amp;IF(AND(H167="tidak",R167&lt;&gt;""),"PERIKSA: tanpa teks lengkap, kosongkan kolom evaluasi. ",""))</f>
        <v/>
      </c>
      <c r="AC167" t="inlineStr">
        <is>
          <t>include</t>
        </is>
      </c>
    </row>
    <row r="168" ht="23.25" customHeight="1" s="21">
      <c r="A168" s="8" t="inlineStr">
        <is>
          <t>xuanjun-2025-mcp-safetybench-benchmark-safety-evaluation</t>
        </is>
      </c>
      <c r="B168" s="8" t="inlineStr">
        <is>
          <t>MCP-SafetyBench: A Benchmark for Safety Evaluation of Large Language Models with Real-World MCP Servers</t>
        </is>
      </c>
      <c r="C168" s="8" t="n">
        <v>2025</v>
      </c>
      <c r="D168" s="8" t="inlineStr">
        <is>
          <t>E2</t>
        </is>
      </c>
      <c r="E168" s="8" t="inlineStr">
        <is>
          <t>scan_cepat</t>
        </is>
      </c>
      <c r="F168" s="8" t="inlineStr">
        <is>
          <t>none</t>
        </is>
      </c>
      <c r="G168" s="9" t="inlineStr">
        <is>
          <t>https://arxiv.org/abs/2512.15163</t>
        </is>
      </c>
      <c r="H168" s="10" t="n"/>
      <c r="I168" s="10" t="inlineStr">
        <is>
          <t>benchmark_measurement</t>
        </is>
      </c>
      <c r="J168" s="10" t="n"/>
      <c r="K168" s="10" t="n"/>
      <c r="L168" s="10" t="n"/>
      <c r="M168" s="10" t="n"/>
      <c r="N168" s="10" t="n"/>
      <c r="O168" s="10" t="n"/>
      <c r="P168" s="10" t="n"/>
      <c r="Q168" s="10" t="n"/>
      <c r="R168" s="10" t="n"/>
      <c r="S168" s="10" t="n"/>
      <c r="T168" s="10" t="n"/>
      <c r="U168" s="10" t="n"/>
      <c r="V168" s="10" t="n"/>
      <c r="W168" s="10" t="n"/>
      <c r="X168" s="10" t="n"/>
      <c r="Y168" s="10" t="n"/>
      <c r="Z168" s="10" t="inlineStr">
        <is>
          <t>Tolok ukur keamanan (MCP-SafetyBench) berbasis server riil untuk mengevaluasi ketahanan LLM terhadap 20 tipe serangan MCP.</t>
        </is>
      </c>
      <c r="AA168" s="11">
        <f>IF(I168="","",IF(OR(I168="attack",I168="survey_review",I168="benchmark_measurement",I168="position_other",I168="not_defense"),"n/a",IF(OR(X168="spec_normatif",X168="produksi_bukti_publik"),"L3",IF(ISNUMBER(SEARCH("independent",R168)),"L2",IF(R168="author_run","L1",IF(R168="none","L0",""))))))</f>
        <v/>
      </c>
      <c r="AB168" s="11">
        <f>IF(I168="","",IF(AND(K168="deterministic_policy",M168="ya"),"PERIKSA: deterministic_policy tetapi LLM/ML ada dalam keputusan. ","")&amp;IF(AND(U168="ya",V168=""),"PERIKSA: adaptif=ya wajib ada kutipan. ","")&amp;IF(AND(R168="none",U168&lt;&gt;"n/a_tanpa_evaluasi",U168&lt;&gt;""),"PERIKSA: tanpa evaluasi, adaptif harus n/a. ","")&amp;IF(AND(OR(R168="author_run",R168="author_run+independent",R168="independent_only"),Q168=""),"PERIKSA: isi kelas_dievaluasi. ","")&amp;IF(AND(OR(R168="author_run",R168="author_run+independent",R168="independent_only"),W168=""),"PERIKSA: isi lokasi_bukti. ","")&amp;IF(AND(H168="tidak",R168&lt;&gt;""),"PERIKSA: tanpa teks lengkap, kosongkan kolom evaluasi. ",""))</f>
        <v/>
      </c>
      <c r="AC168" t="inlineStr">
        <is>
          <t>include</t>
        </is>
      </c>
    </row>
    <row r="169" ht="34.5" customHeight="1" s="21">
      <c r="A169" s="12" t="inlineStr">
        <is>
          <t>yao-2025-technical-implementation-tippy-multi-agent</t>
        </is>
      </c>
      <c r="B169" s="12" t="inlineStr">
        <is>
          <t>Technical Implementation of Tippy: Multi-Agent Architecture and System Design for Drug Discovery Laboratory Automation</t>
        </is>
      </c>
      <c r="C169" s="12" t="n">
        <v>2025</v>
      </c>
      <c r="D169" s="12" t="inlineStr">
        <is>
          <t>E2</t>
        </is>
      </c>
      <c r="E169" s="12" t="inlineStr">
        <is>
          <t>scan_cepat</t>
        </is>
      </c>
      <c r="F169" s="12" t="inlineStr">
        <is>
          <t>none</t>
        </is>
      </c>
      <c r="G169" s="13" t="inlineStr">
        <is>
          <t>https://arxiv.org/abs/2507.17852</t>
        </is>
      </c>
      <c r="H169" s="12" t="n"/>
      <c r="I169" s="12" t="inlineStr">
        <is>
          <t>not_defense</t>
        </is>
      </c>
      <c r="J169" s="12" t="n"/>
      <c r="K169" s="12" t="n"/>
      <c r="L169" s="12" t="n"/>
      <c r="M169" s="12" t="n"/>
      <c r="N169" s="12" t="n"/>
      <c r="O169" s="12" t="n"/>
      <c r="P169" s="12" t="n"/>
      <c r="Q169" s="12" t="n"/>
      <c r="R169" s="12" t="n"/>
      <c r="S169" s="12" t="n"/>
      <c r="T169" s="12" t="n"/>
      <c r="U169" s="12" t="n"/>
      <c r="V169" s="12" t="n"/>
      <c r="W169" s="12" t="n"/>
      <c r="X169" s="12" t="n"/>
      <c r="Y169" s="12" t="n"/>
      <c r="Z169" s="12" t="inlineStr">
        <is>
          <t>[AUDIT_v5_EXCLUDE: EC1] Dikeluarkan dari korpus MCP-spesifik oleh audit reviewer kedua v5. (dikeluarkan setelah audit reviewer kedua + rekonsiliasi) | Catatan lama: Makalah implementasi sistem multi-agen domain otomasi laboratorium farmasi (Tippy), di luar fokus penelitian pertahanan MCP.</t>
        </is>
      </c>
      <c r="AA169" s="12">
        <f>IF(I169="","",IF(OR(I169="attack",I169="survey_review",I169="benchmark_measurement",I169="position_other",I169="not_defense"),"n/a",IF(OR(X169="spec_normatif",X169="produksi_bukti_publik"),"L3",IF(ISNUMBER(SEARCH("independent",R169)),"L2",IF(R169="author_run","L1",IF(R169="none","L0",""))))))</f>
        <v/>
      </c>
      <c r="AB169" s="12">
        <f>IF(I169="","",IF(AND(K169="deterministic_policy",M169="ya"),"PERIKSA: deterministic_policy tetapi LLM/ML ada dalam keputusan. ","")&amp;IF(AND(U169="ya",V169=""),"PERIKSA: adaptif=ya wajib ada kutipan. ","")&amp;IF(AND(R169="none",U169&lt;&gt;"n/a_tanpa_evaluasi",U169&lt;&gt;""),"PERIKSA: tanpa evaluasi, adaptif harus n/a. ","")&amp;IF(AND(OR(R169="author_run",R169="author_run+independent",R169="independent_only"),Q169=""),"PERIKSA: isi kelas_dievaluasi. ","")&amp;IF(AND(OR(R169="author_run",R169="author_run+independent",R169="independent_only"),W169=""),"PERIKSA: isi lokasi_bukti. ","")&amp;IF(AND(H169="tidak",R169&lt;&gt;""),"PERIKSA: tanpa teks lengkap, kosongkan kolom evaluasi. ",""))</f>
        <v/>
      </c>
      <c r="AC169" s="14" t="inlineStr">
        <is>
          <t>exclude</t>
        </is>
      </c>
      <c r="AD169" s="14" t="inlineStr">
        <is>
          <t>EC1</t>
        </is>
      </c>
      <c r="AE169" s="14" t="inlineStr">
        <is>
          <t>dikeluarkan setelah audit reviewer kedua + rekonsiliasi</t>
        </is>
      </c>
    </row>
    <row r="170" ht="23.25" customHeight="1" s="21">
      <c r="A170" s="8" t="inlineStr">
        <is>
          <t>yi-2026-mcp-38-comprehensive-threat-taxonomy</t>
        </is>
      </c>
      <c r="B170" s="8" t="inlineStr">
        <is>
          <t>MCP-38: A Comprehensive Threat Taxonomy for Model Context Protocol Systems (v1.0)</t>
        </is>
      </c>
      <c r="C170" s="8" t="n">
        <v>2026</v>
      </c>
      <c r="D170" s="8" t="inlineStr">
        <is>
          <t>E2</t>
        </is>
      </c>
      <c r="E170" s="8" t="inlineStr">
        <is>
          <t>scan_cepat</t>
        </is>
      </c>
      <c r="F170" s="8" t="inlineStr">
        <is>
          <t>none</t>
        </is>
      </c>
      <c r="G170" s="9" t="inlineStr">
        <is>
          <t>https://arxiv.org/abs/2603.18063</t>
        </is>
      </c>
      <c r="H170" s="10" t="n"/>
      <c r="I170" s="10" t="inlineStr">
        <is>
          <t>survey_review</t>
        </is>
      </c>
      <c r="J170" s="10" t="n"/>
      <c r="K170" s="10" t="n"/>
      <c r="L170" s="10" t="n"/>
      <c r="M170" s="10" t="n"/>
      <c r="N170" s="10" t="n"/>
      <c r="O170" s="10" t="n"/>
      <c r="P170" s="10" t="n"/>
      <c r="Q170" s="10" t="n"/>
      <c r="R170" s="10" t="n"/>
      <c r="S170" s="10" t="n"/>
      <c r="T170" s="10" t="n"/>
      <c r="U170" s="10" t="n"/>
      <c r="V170" s="10" t="n"/>
      <c r="W170" s="10" t="n"/>
      <c r="X170" s="10" t="n"/>
      <c r="Y170" s="10" t="n"/>
      <c r="Z170" s="10" t="inlineStr">
        <is>
          <t>Taksonomi ancaman komprehensif (MCP-38) yang memetakan 38 kategori ancaman protokol MCP ke standar STRIDE dan OWASP.</t>
        </is>
      </c>
      <c r="AA170" s="11">
        <f>IF(I170="","",IF(OR(I170="attack",I170="survey_review",I170="benchmark_measurement",I170="position_other",I170="not_defense"),"n/a",IF(OR(X170="spec_normatif",X170="produksi_bukti_publik"),"L3",IF(ISNUMBER(SEARCH("independent",R170)),"L2",IF(R170="author_run","L1",IF(R170="none","L0",""))))))</f>
        <v/>
      </c>
      <c r="AB170" s="11">
        <f>IF(I170="","",IF(AND(K170="deterministic_policy",M170="ya"),"PERIKSA: deterministic_policy tetapi LLM/ML ada dalam keputusan. ","")&amp;IF(AND(U170="ya",V170=""),"PERIKSA: adaptif=ya wajib ada kutipan. ","")&amp;IF(AND(R170="none",U170&lt;&gt;"n/a_tanpa_evaluasi",U170&lt;&gt;""),"PERIKSA: tanpa evaluasi, adaptif harus n/a. ","")&amp;IF(AND(OR(R170="author_run",R170="author_run+independent",R170="independent_only"),Q170=""),"PERIKSA: isi kelas_dievaluasi. ","")&amp;IF(AND(OR(R170="author_run",R170="author_run+independent",R170="independent_only"),W170=""),"PERIKSA: isi lokasi_bukti. ","")&amp;IF(AND(H170="tidak",R170&lt;&gt;""),"PERIKSA: tanpa teks lengkap, kosongkan kolom evaluasi. ",""))</f>
        <v/>
      </c>
      <c r="AC170" t="inlineStr">
        <is>
          <t>include</t>
        </is>
      </c>
    </row>
    <row r="171" ht="23.25" customHeight="1" s="21">
      <c r="A171" s="8" t="inlineStr">
        <is>
          <t>yi-2026-mcpthreathive-automated-threat-intelligence-model</t>
        </is>
      </c>
      <c r="B171" s="8" t="inlineStr">
        <is>
          <t>MCPThreatHive: Automated Threat Intelligence for Model Context Protocol Ecosystems</t>
        </is>
      </c>
      <c r="C171" s="8" t="n">
        <v>2026</v>
      </c>
      <c r="D171" s="8" t="inlineStr">
        <is>
          <t>E2</t>
        </is>
      </c>
      <c r="E171" s="8" t="inlineStr">
        <is>
          <t>scan_cepat</t>
        </is>
      </c>
      <c r="F171" s="8" t="inlineStr">
        <is>
          <t>none</t>
        </is>
      </c>
      <c r="G171" s="9" t="inlineStr">
        <is>
          <t>https://arxiv.org/abs/2604.13849</t>
        </is>
      </c>
      <c r="H171" s="10" t="n"/>
      <c r="I171" s="10" t="inlineStr">
        <is>
          <t>position_other</t>
        </is>
      </c>
      <c r="J171" s="10" t="n"/>
      <c r="K171" s="10" t="n"/>
      <c r="L171" s="10" t="n"/>
      <c r="M171" s="10" t="n"/>
      <c r="N171" s="10" t="n"/>
      <c r="O171" s="10" t="n"/>
      <c r="P171" s="10" t="n"/>
      <c r="Q171" s="10" t="n"/>
      <c r="R171" s="10" t="n"/>
      <c r="S171" s="10" t="n"/>
      <c r="T171" s="10" t="n"/>
      <c r="U171" s="10" t="n"/>
      <c r="V171" s="10" t="n"/>
      <c r="W171" s="10" t="n"/>
      <c r="X171" s="10" t="n"/>
      <c r="Y171" s="10" t="n"/>
      <c r="Z171" s="10" t="inlineStr">
        <is>
          <t>Platform intelijen ancaman dan basis pengetahuan otomatis (MCPThreatHive) untuk pemodelan risiko ekosistem MCP tanpa penegakan runtime.</t>
        </is>
      </c>
      <c r="AA171" s="11">
        <f>IF(I171="","",IF(OR(I171="attack",I171="survey_review",I171="benchmark_measurement",I171="position_other",I171="not_defense"),"n/a",IF(OR(X171="spec_normatif",X171="produksi_bukti_publik"),"L3",IF(ISNUMBER(SEARCH("independent",R171)),"L2",IF(R171="author_run","L1",IF(R171="none","L0",""))))))</f>
        <v/>
      </c>
      <c r="AB171" s="11">
        <f>IF(I171="","",IF(AND(K171="deterministic_policy",M171="ya"),"PERIKSA: deterministic_policy tetapi LLM/ML ada dalam keputusan. ","")&amp;IF(AND(U171="ya",V171=""),"PERIKSA: adaptif=ya wajib ada kutipan. ","")&amp;IF(AND(R171="none",U171&lt;&gt;"n/a_tanpa_evaluasi",U171&lt;&gt;""),"PERIKSA: tanpa evaluasi, adaptif harus n/a. ","")&amp;IF(AND(OR(R171="author_run",R171="author_run+independent",R171="independent_only"),Q171=""),"PERIKSA: isi kelas_dievaluasi. ","")&amp;IF(AND(OR(R171="author_run",R171="author_run+independent",R171="independent_only"),W171=""),"PERIKSA: isi lokasi_bukti. ","")&amp;IF(AND(H171="tidak",R171&lt;&gt;""),"PERIKSA: tanpa teks lengkap, kosongkan kolom evaluasi. ",""))</f>
        <v/>
      </c>
      <c r="AC171" t="inlineStr">
        <is>
          <t>include</t>
        </is>
      </c>
    </row>
    <row r="172" ht="23.25" customHeight="1" s="21">
      <c r="A172" s="8" t="inlineStr">
        <is>
          <t>yingxuan-2025-survey-ai-agent-protocols</t>
        </is>
      </c>
      <c r="B172" s="8" t="inlineStr">
        <is>
          <t>A Survey of AI Agent Protocols</t>
        </is>
      </c>
      <c r="C172" s="8" t="n">
        <v>2025</v>
      </c>
      <c r="D172" s="8" t="inlineStr">
        <is>
          <t>E2</t>
        </is>
      </c>
      <c r="E172" s="8" t="inlineStr">
        <is>
          <t>scan_cepat</t>
        </is>
      </c>
      <c r="F172" s="8" t="inlineStr">
        <is>
          <t>none</t>
        </is>
      </c>
      <c r="G172" s="9" t="inlineStr">
        <is>
          <t>https://doi.org/10.48550/arxiv.2504.16736</t>
        </is>
      </c>
      <c r="H172" s="10" t="n"/>
      <c r="I172" s="10" t="inlineStr">
        <is>
          <t>survey_review</t>
        </is>
      </c>
      <c r="J172" s="10" t="n"/>
      <c r="K172" s="10" t="n"/>
      <c r="L172" s="10" t="n"/>
      <c r="M172" s="10" t="n"/>
      <c r="N172" s="10" t="n"/>
      <c r="O172" s="10" t="n"/>
      <c r="P172" s="10" t="n"/>
      <c r="Q172" s="10" t="n"/>
      <c r="R172" s="10" t="n"/>
      <c r="S172" s="10" t="n"/>
      <c r="T172" s="10" t="n"/>
      <c r="U172" s="10" t="n"/>
      <c r="V172" s="10" t="n"/>
      <c r="W172" s="10" t="n"/>
      <c r="X172" s="10" t="n"/>
      <c r="Y172" s="10" t="n"/>
      <c r="Z172" s="10" t="inlineStr">
        <is>
          <t>Tinjauan survei komparatif mengenai berbagai protokol komunikasi agen AI termasuk analisis dimensi keamanan dan skalabilitas.</t>
        </is>
      </c>
      <c r="AA172" s="11">
        <f>IF(I172="","",IF(OR(I172="attack",I172="survey_review",I172="benchmark_measurement",I172="position_other",I172="not_defense"),"n/a",IF(OR(X172="spec_normatif",X172="produksi_bukti_publik"),"L3",IF(ISNUMBER(SEARCH("independent",R172)),"L2",IF(R172="author_run","L1",IF(R172="none","L0",""))))))</f>
        <v/>
      </c>
      <c r="AB172" s="11">
        <f>IF(I172="","",IF(AND(K172="deterministic_policy",M172="ya"),"PERIKSA: deterministic_policy tetapi LLM/ML ada dalam keputusan. ","")&amp;IF(AND(U172="ya",V172=""),"PERIKSA: adaptif=ya wajib ada kutipan. ","")&amp;IF(AND(R172="none",U172&lt;&gt;"n/a_tanpa_evaluasi",U172&lt;&gt;""),"PERIKSA: tanpa evaluasi, adaptif harus n/a. ","")&amp;IF(AND(OR(R172="author_run",R172="author_run+independent",R172="independent_only"),Q172=""),"PERIKSA: isi kelas_dievaluasi. ","")&amp;IF(AND(OR(R172="author_run",R172="author_run+independent",R172="independent_only"),W172=""),"PERIKSA: isi lokasi_bukti. ","")&amp;IF(AND(H172="tidak",R172&lt;&gt;""),"PERIKSA: tanpa teks lengkap, kosongkan kolom evaluasi. ",""))</f>
        <v/>
      </c>
      <c r="AC172" t="inlineStr">
        <is>
          <t>include</t>
        </is>
      </c>
    </row>
    <row r="173" ht="34.5" customHeight="1" s="21">
      <c r="A173" s="8" t="inlineStr">
        <is>
          <t>yixuan-2025-mcpsecbench-systematic-security-benchmark-playground</t>
        </is>
      </c>
      <c r="B173" s="8" t="inlineStr">
        <is>
          <t>MCPSecBench: A Systematic Security Benchmark and Playground for Testing Model Context Protocols</t>
        </is>
      </c>
      <c r="C173" s="8" t="n">
        <v>2025</v>
      </c>
      <c r="D173" s="8" t="inlineStr">
        <is>
          <t>E2</t>
        </is>
      </c>
      <c r="E173" s="8" t="inlineStr">
        <is>
          <t>scan_cepat</t>
        </is>
      </c>
      <c r="F173" s="8" t="inlineStr">
        <is>
          <t>none</t>
        </is>
      </c>
      <c r="G173" s="9" t="inlineStr">
        <is>
          <t>https://arxiv.org/abs/2508.13220</t>
        </is>
      </c>
      <c r="H173" s="10" t="n"/>
      <c r="I173" s="10" t="inlineStr">
        <is>
          <t>benchmark_measurement</t>
        </is>
      </c>
      <c r="J173" s="10" t="n"/>
      <c r="K173" s="10" t="n"/>
      <c r="L173" s="10" t="n"/>
      <c r="M173" s="10" t="n"/>
      <c r="N173" s="10" t="n"/>
      <c r="O173" s="10" t="n"/>
      <c r="P173" s="10" t="n"/>
      <c r="Q173" s="10" t="n"/>
      <c r="R173" s="10" t="n"/>
      <c r="S173" s="10" t="n"/>
      <c r="T173" s="10" t="n"/>
      <c r="U173" s="10" t="n"/>
      <c r="V173" s="10" t="n"/>
      <c r="W173" s="10" t="n"/>
      <c r="X173" s="10" t="n"/>
      <c r="Y173" s="10" t="n"/>
      <c r="Z173" s="10" t="inlineStr">
        <is>
          <t>Tolok ukur keamanan dan lingkungan pengujian (MCPSecBench) untuk mengevaluasi ketahanan implementasi MCP terhadap serangan.</t>
        </is>
      </c>
      <c r="AA173" s="11">
        <f>IF(I173="","",IF(OR(I173="attack",I173="survey_review",I173="benchmark_measurement",I173="position_other",I173="not_defense"),"n/a",IF(OR(X173="spec_normatif",X173="produksi_bukti_publik"),"L3",IF(ISNUMBER(SEARCH("independent",R173)),"L2",IF(R173="author_run","L1",IF(R173="none","L0",""))))))</f>
        <v/>
      </c>
      <c r="AB173" s="11">
        <f>IF(I173="","",IF(AND(K173="deterministic_policy",M173="ya"),"PERIKSA: deterministic_policy tetapi LLM/ML ada dalam keputusan. ","")&amp;IF(AND(U173="ya",V173=""),"PERIKSA: adaptif=ya wajib ada kutipan. ","")&amp;IF(AND(R173="none",U173&lt;&gt;"n/a_tanpa_evaluasi",U173&lt;&gt;""),"PERIKSA: tanpa evaluasi, adaptif harus n/a. ","")&amp;IF(AND(OR(R173="author_run",R173="author_run+independent",R173="independent_only"),Q173=""),"PERIKSA: isi kelas_dievaluasi. ","")&amp;IF(AND(OR(R173="author_run",R173="author_run+independent",R173="independent_only"),W173=""),"PERIKSA: isi lokasi_bukti. ","")&amp;IF(AND(H173="tidak",R173&lt;&gt;""),"PERIKSA: tanpa teks lengkap, kosongkan kolom evaluasi. ",""))</f>
        <v/>
      </c>
      <c r="AC173" t="inlineStr">
        <is>
          <t>include</t>
        </is>
      </c>
    </row>
    <row r="174" ht="23.25" customHeight="1" s="21">
      <c r="A174" s="8" t="inlineStr">
        <is>
          <t>yongjian-2025-mcpxkit-unified-toolkit-analyzing-model</t>
        </is>
      </c>
      <c r="B174" s="8" t="inlineStr">
        <is>
          <t>MCPXKIT: The Unified Toolkit for Analyzing Model Context Protocol Security</t>
        </is>
      </c>
      <c r="C174" s="8" t="n">
        <v>2025</v>
      </c>
      <c r="D174" s="8" t="inlineStr">
        <is>
          <t>E1</t>
        </is>
      </c>
      <c r="E174" s="8" t="inlineStr">
        <is>
          <t>scan_cepat</t>
        </is>
      </c>
      <c r="F174" s="8" t="inlineStr">
        <is>
          <t>none</t>
        </is>
      </c>
      <c r="G174" s="9" t="inlineStr">
        <is>
          <t>https://arxiv.org/abs/2508.12538</t>
        </is>
      </c>
      <c r="H174" s="10" t="n"/>
      <c r="I174" s="10" t="inlineStr">
        <is>
          <t>benchmark_measurement</t>
        </is>
      </c>
      <c r="J174" s="10" t="n"/>
      <c r="K174" s="10" t="n"/>
      <c r="L174" s="10" t="n"/>
      <c r="M174" s="10" t="n"/>
      <c r="N174" s="10" t="n"/>
      <c r="O174" s="10" t="n"/>
      <c r="P174" s="10" t="n"/>
      <c r="Q174" s="10" t="n"/>
      <c r="R174" s="10" t="n"/>
      <c r="S174" s="10" t="n"/>
      <c r="T174" s="10" t="n"/>
      <c r="U174" s="10" t="n"/>
      <c r="V174" s="10" t="n"/>
      <c r="W174" s="10" t="n"/>
      <c r="X174" s="10" t="n"/>
      <c r="Y174" s="10" t="n"/>
      <c r="Z174" s="10" t="inlineStr">
        <is>
          <t>Toolkit analisis keamanan dan pengujian empiris (MCPXKIT) yang mengimplementasikan 31 metode serangan untuk mengevaluasi kerentanan MCP.</t>
        </is>
      </c>
      <c r="AA174" s="11">
        <f>IF(I174="","",IF(OR(I174="attack",I174="survey_review",I174="benchmark_measurement",I174="position_other",I174="not_defense"),"n/a",IF(OR(X174="spec_normatif",X174="produksi_bukti_publik"),"L3",IF(ISNUMBER(SEARCH("independent",R174)),"L2",IF(R174="author_run","L1",IF(R174="none","L0",""))))))</f>
        <v/>
      </c>
      <c r="AB174" s="11">
        <f>IF(I174="","",IF(AND(K174="deterministic_policy",M174="ya"),"PERIKSA: deterministic_policy tetapi LLM/ML ada dalam keputusan. ","")&amp;IF(AND(U174="ya",V174=""),"PERIKSA: adaptif=ya wajib ada kutipan. ","")&amp;IF(AND(R174="none",U174&lt;&gt;"n/a_tanpa_evaluasi",U174&lt;&gt;""),"PERIKSA: tanpa evaluasi, adaptif harus n/a. ","")&amp;IF(AND(OR(R174="author_run",R174="author_run+independent",R174="independent_only"),Q174=""),"PERIKSA: isi kelas_dievaluasi. ","")&amp;IF(AND(OR(R174="author_run",R174="author_run+independent",R174="independent_only"),W174=""),"PERIKSA: isi lokasi_bukti. ","")&amp;IF(AND(H174="tidak",R174&lt;&gt;""),"PERIKSA: tanpa teks lengkap, kosongkan kolom evaluasi. ",""))</f>
        <v/>
      </c>
      <c r="AC174" t="inlineStr">
        <is>
          <t>include</t>
        </is>
      </c>
    </row>
    <row r="175" ht="23.25" customHeight="1" s="21">
      <c r="A175" s="12" t="inlineStr">
        <is>
          <t>yuchuan-2025-ras-eval-comprehensive-benchmark-security</t>
        </is>
      </c>
      <c r="B175" s="12" t="inlineStr">
        <is>
          <t>RAS-Eval: A Comprehensive Benchmark for Security Evaluation of LLM Agents in Real-World Environments</t>
        </is>
      </c>
      <c r="C175" s="12" t="n">
        <v>2025</v>
      </c>
      <c r="D175" s="12" t="inlineStr">
        <is>
          <t>E2</t>
        </is>
      </c>
      <c r="E175" s="12" t="inlineStr">
        <is>
          <t>scan_cepat</t>
        </is>
      </c>
      <c r="F175" s="12" t="inlineStr">
        <is>
          <t>none</t>
        </is>
      </c>
      <c r="G175" s="13" t="inlineStr">
        <is>
          <t>https://arxiv.org/abs/2506.15253</t>
        </is>
      </c>
      <c r="H175" s="12" t="n"/>
      <c r="I175" s="12" t="inlineStr">
        <is>
          <t>benchmark_measurement</t>
        </is>
      </c>
      <c r="J175" s="12" t="n"/>
      <c r="K175" s="12" t="n"/>
      <c r="L175" s="12" t="n"/>
      <c r="M175" s="12" t="n"/>
      <c r="N175" s="12" t="n"/>
      <c r="O175" s="12" t="n"/>
      <c r="P175" s="12" t="n"/>
      <c r="Q175" s="12" t="n"/>
      <c r="R175" s="12" t="n"/>
      <c r="S175" s="12" t="n"/>
      <c r="T175" s="12" t="n"/>
      <c r="U175" s="12" t="n"/>
      <c r="V175" s="12" t="n"/>
      <c r="W175" s="12" t="n"/>
      <c r="X175" s="12" t="n"/>
      <c r="Y175" s="12" t="n"/>
      <c r="Z175" s="12" t="inlineStr">
        <is>
          <t>[AUDIT_v5_EXCLUDE: EC2] Dikeluarkan dari korpus MCP-spesifik oleh audit reviewer kedua v5. (audit lanjutan; diterima koordinator) | Catatan lama: Tolok ukur evaluasi keamanan agen LLM (RAS-Eval) yang mencakup pengujian tugas serangan pada tool berformat MCP.</t>
        </is>
      </c>
      <c r="AA175" s="12">
        <f>IF(I175="","",IF(OR(I175="attack",I175="survey_review",I175="benchmark_measurement",I175="position_other",I175="not_defense"),"n/a",IF(OR(X175="spec_normatif",X175="produksi_bukti_publik"),"L3",IF(ISNUMBER(SEARCH("independent",R175)),"L2",IF(R175="author_run","L1",IF(R175="none","L0",""))))))</f>
        <v/>
      </c>
      <c r="AB175" s="12">
        <f>IF(I175="","",IF(AND(K175="deterministic_policy",M175="ya"),"PERIKSA: deterministic_policy tetapi LLM/ML ada dalam keputusan. ","")&amp;IF(AND(U175="ya",V175=""),"PERIKSA: adaptif=ya wajib ada kutipan. ","")&amp;IF(AND(R175="none",U175&lt;&gt;"n/a_tanpa_evaluasi",U175&lt;&gt;""),"PERIKSA: tanpa evaluasi, adaptif harus n/a. ","")&amp;IF(AND(OR(R175="author_run",R175="author_run+independent",R175="independent_only"),Q175=""),"PERIKSA: isi kelas_dievaluasi. ","")&amp;IF(AND(OR(R175="author_run",R175="author_run+independent",R175="independent_only"),W175=""),"PERIKSA: isi lokasi_bukti. ","")&amp;IF(AND(H175="tidak",R175&lt;&gt;""),"PERIKSA: tanpa teks lengkap, kosongkan kolom evaluasi. ",""))</f>
        <v/>
      </c>
      <c r="AC175" s="14" t="inlineStr">
        <is>
          <t>exclude</t>
        </is>
      </c>
      <c r="AD175" s="14" t="inlineStr">
        <is>
          <t>EC2</t>
        </is>
      </c>
      <c r="AE175" s="14" t="inlineStr">
        <is>
          <t>audit lanjutan; diterima koordinator</t>
        </is>
      </c>
    </row>
    <row r="176" ht="34.5" customHeight="1" s="21">
      <c r="A176" s="8" t="inlineStr">
        <is>
          <t>yuhang-2026-give-them-inch-they-will</t>
        </is>
      </c>
      <c r="B176" s="8" t="inlineStr">
        <is>
          <t>Give Them an Inch and They Will Take a Mile:Understanding and Measuring Caller Identity Confusion in MCP-Based AI Systems</t>
        </is>
      </c>
      <c r="C176" s="8" t="n">
        <v>2026</v>
      </c>
      <c r="D176" s="8" t="inlineStr">
        <is>
          <t>E2</t>
        </is>
      </c>
      <c r="E176" s="8" t="inlineStr">
        <is>
          <t>scan_cepat</t>
        </is>
      </c>
      <c r="F176" s="8" t="inlineStr">
        <is>
          <t>none</t>
        </is>
      </c>
      <c r="G176" s="9" t="inlineStr">
        <is>
          <t>https://arxiv.org/abs/2603.07473</t>
        </is>
      </c>
      <c r="H176" s="10" t="n"/>
      <c r="I176" s="10" t="inlineStr">
        <is>
          <t>benchmark_measurement</t>
        </is>
      </c>
      <c r="J176" s="10" t="n"/>
      <c r="K176" s="10" t="n"/>
      <c r="L176" s="10" t="n"/>
      <c r="M176" s="10" t="n"/>
      <c r="N176" s="10" t="n"/>
      <c r="O176" s="10" t="n"/>
      <c r="P176" s="10" t="n"/>
      <c r="Q176" s="10" t="n"/>
      <c r="R176" s="10" t="n"/>
      <c r="S176" s="10" t="n"/>
      <c r="T176" s="10" t="n"/>
      <c r="U176" s="10" t="n"/>
      <c r="V176" s="10" t="n"/>
      <c r="W176" s="10" t="n"/>
      <c r="X176" s="10" t="n"/>
      <c r="Y176" s="10" t="n"/>
      <c r="Z176" s="10" t="inlineStr">
        <is>
          <t>Studi pengukuran empiris dan analisis kelemahan mekanisme autentikasi identitas pemanggil (caller identity confusion) pada server MCP.</t>
        </is>
      </c>
      <c r="AA176" s="11">
        <f>IF(I176="","",IF(OR(I176="attack",I176="survey_review",I176="benchmark_measurement",I176="position_other",I176="not_defense"),"n/a",IF(OR(X176="spec_normatif",X176="produksi_bukti_publik"),"L3",IF(ISNUMBER(SEARCH("independent",R176)),"L2",IF(R176="author_run","L1",IF(R176="none","L0",""))))))</f>
        <v/>
      </c>
      <c r="AB176" s="11">
        <f>IF(I176="","",IF(AND(K176="deterministic_policy",M176="ya"),"PERIKSA: deterministic_policy tetapi LLM/ML ada dalam keputusan. ","")&amp;IF(AND(U176="ya",V176=""),"PERIKSA: adaptif=ya wajib ada kutipan. ","")&amp;IF(AND(R176="none",U176&lt;&gt;"n/a_tanpa_evaluasi",U176&lt;&gt;""),"PERIKSA: tanpa evaluasi, adaptif harus n/a. ","")&amp;IF(AND(OR(R176="author_run",R176="author_run+independent",R176="independent_only"),Q176=""),"PERIKSA: isi kelas_dievaluasi. ","")&amp;IF(AND(OR(R176="author_run",R176="author_run+independent",R176="independent_only"),W176=""),"PERIKSA: isi lokasi_bukti. ","")&amp;IF(AND(H176="tidak",R176&lt;&gt;""),"PERIKSA: tanpa teks lengkap, kosongkan kolom evaluasi. ",""))</f>
        <v/>
      </c>
      <c r="AC176" t="inlineStr">
        <is>
          <t>include</t>
        </is>
      </c>
    </row>
    <row r="177" ht="23.25" customHeight="1" s="21">
      <c r="A177" s="8" t="inlineStr">
        <is>
          <t>yulin-2026-invisible-threats-model-context-protocol</t>
        </is>
      </c>
      <c r="B177" s="8" t="inlineStr">
        <is>
          <t>Invisible Threats from Model Context Protocol: Generating Stealthy Injection Payload via Tree-based Adaptive Search</t>
        </is>
      </c>
      <c r="C177" s="8" t="n">
        <v>2026</v>
      </c>
      <c r="D177" s="8" t="inlineStr">
        <is>
          <t>E2</t>
        </is>
      </c>
      <c r="E177" s="8" t="inlineStr">
        <is>
          <t>scan_cepat</t>
        </is>
      </c>
      <c r="F177" s="8" t="inlineStr">
        <is>
          <t>none</t>
        </is>
      </c>
      <c r="G177" s="9" t="inlineStr">
        <is>
          <t>https://arxiv.org/abs/2603.24203</t>
        </is>
      </c>
      <c r="H177" s="10" t="n"/>
      <c r="I177" s="10" t="inlineStr">
        <is>
          <t>attack</t>
        </is>
      </c>
      <c r="J177" s="10" t="n"/>
      <c r="K177" s="10" t="n"/>
      <c r="L177" s="10" t="n"/>
      <c r="M177" s="10" t="n"/>
      <c r="N177" s="10" t="n"/>
      <c r="O177" s="10" t="n"/>
      <c r="P177" s="10" t="n"/>
      <c r="Q177" s="10" t="n"/>
      <c r="R177" s="10" t="n"/>
      <c r="S177" s="10" t="n"/>
      <c r="T177" s="10" t="n"/>
      <c r="U177" s="10" t="n"/>
      <c r="V177" s="10" t="n"/>
      <c r="W177" s="10" t="n"/>
      <c r="X177" s="10" t="n"/>
      <c r="Y177" s="10" t="n"/>
      <c r="Z177" s="10" t="inlineStr">
        <is>
          <t>Perancangan teknik serangan injeksi payload tersembunyi (TIP) berbasis pencarian pohon pada respons tool MCP tanpa mitigasi baru.</t>
        </is>
      </c>
      <c r="AA177" s="11">
        <f>IF(I177="","",IF(OR(I177="attack",I177="survey_review",I177="benchmark_measurement",I177="position_other",I177="not_defense"),"n/a",IF(OR(X177="spec_normatif",X177="produksi_bukti_publik"),"L3",IF(ISNUMBER(SEARCH("independent",R177)),"L2",IF(R177="author_run","L1",IF(R177="none","L0",""))))))</f>
        <v/>
      </c>
      <c r="AB177" s="11">
        <f>IF(I177="","",IF(AND(K177="deterministic_policy",M177="ya"),"PERIKSA: deterministic_policy tetapi LLM/ML ada dalam keputusan. ","")&amp;IF(AND(U177="ya",V177=""),"PERIKSA: adaptif=ya wajib ada kutipan. ","")&amp;IF(AND(R177="none",U177&lt;&gt;"n/a_tanpa_evaluasi",U177&lt;&gt;""),"PERIKSA: tanpa evaluasi, adaptif harus n/a. ","")&amp;IF(AND(OR(R177="author_run",R177="author_run+independent",R177="independent_only"),Q177=""),"PERIKSA: isi kelas_dievaluasi. ","")&amp;IF(AND(OR(R177="author_run",R177="author_run+independent",R177="independent_only"),W177=""),"PERIKSA: isi lokasi_bukti. ","")&amp;IF(AND(H177="tidak",R177&lt;&gt;""),"PERIKSA: tanpa teks lengkap, kosongkan kolom evaluasi. ",""))</f>
        <v/>
      </c>
      <c r="AC177" t="inlineStr">
        <is>
          <t>include</t>
        </is>
      </c>
    </row>
    <row r="178" ht="23.25" customHeight="1" s="21">
      <c r="A178" s="8" t="inlineStr">
        <is>
          <t>yunhao-2025-intentminer-intent-inversion-attack-via</t>
        </is>
      </c>
      <c r="B178" s="8" t="inlineStr">
        <is>
          <t>IntentMiner: Intent Inversion Attack via Tool Call Analysis in the Model Context Protocol</t>
        </is>
      </c>
      <c r="C178" s="8" t="n">
        <v>2025</v>
      </c>
      <c r="D178" s="8" t="inlineStr">
        <is>
          <t>E2</t>
        </is>
      </c>
      <c r="E178" s="8" t="inlineStr">
        <is>
          <t>scan_cepat</t>
        </is>
      </c>
      <c r="F178" s="8" t="inlineStr">
        <is>
          <t>none</t>
        </is>
      </c>
      <c r="G178" s="9" t="inlineStr">
        <is>
          <t>https://arxiv.org/abs/2512.14166</t>
        </is>
      </c>
      <c r="H178" s="10" t="n"/>
      <c r="I178" s="10" t="inlineStr">
        <is>
          <t>attack</t>
        </is>
      </c>
      <c r="J178" s="10" t="n"/>
      <c r="K178" s="10" t="n"/>
      <c r="L178" s="10" t="n"/>
      <c r="M178" s="10" t="n"/>
      <c r="N178" s="10" t="n"/>
      <c r="O178" s="10" t="n"/>
      <c r="P178" s="10" t="n"/>
      <c r="Q178" s="10" t="n"/>
      <c r="R178" s="10" t="n"/>
      <c r="S178" s="10" t="n"/>
      <c r="T178" s="10" t="n"/>
      <c r="U178" s="10" t="n"/>
      <c r="V178" s="10" t="n"/>
      <c r="W178" s="10" t="n"/>
      <c r="X178" s="10" t="n"/>
      <c r="Y178" s="10" t="n"/>
      <c r="Z178" s="10" t="inlineStr">
        <is>
          <t>Pengembangan teknik serangan rekonstruksi niat pengguna (IntentMiner / Intent Inversion Attack) melalui analisis metadata pemanggilan tool MCP.</t>
        </is>
      </c>
      <c r="AA178" s="11">
        <f>IF(I178="","",IF(OR(I178="attack",I178="survey_review",I178="benchmark_measurement",I178="position_other",I178="not_defense"),"n/a",IF(OR(X178="spec_normatif",X178="produksi_bukti_publik"),"L3",IF(ISNUMBER(SEARCH("independent",R178)),"L2",IF(R178="author_run","L1",IF(R178="none","L0",""))))))</f>
        <v/>
      </c>
      <c r="AB178" s="11">
        <f>IF(I178="","",IF(AND(K178="deterministic_policy",M178="ya"),"PERIKSA: deterministic_policy tetapi LLM/ML ada dalam keputusan. ","")&amp;IF(AND(U178="ya",V178=""),"PERIKSA: adaptif=ya wajib ada kutipan. ","")&amp;IF(AND(R178="none",U178&lt;&gt;"n/a_tanpa_evaluasi",U178&lt;&gt;""),"PERIKSA: tanpa evaluasi, adaptif harus n/a. ","")&amp;IF(AND(OR(R178="author_run",R178="author_run+independent",R178="independent_only"),Q178=""),"PERIKSA: isi kelas_dievaluasi. ","")&amp;IF(AND(OR(R178="author_run",R178="author_run+independent",R178="independent_only"),W178=""),"PERIKSA: isi lokasi_bukti. ","")&amp;IF(AND(H178="tidak",R178&lt;&gt;""),"PERIKSA: tanpa teks lengkap, kosongkan kolom evaluasi. ",""))</f>
        <v/>
      </c>
      <c r="AC178" t="inlineStr">
        <is>
          <t>include</t>
        </is>
      </c>
    </row>
    <row r="179" ht="23.25" customHeight="1" s="21">
      <c r="A179" s="8" t="inlineStr">
        <is>
          <t>yuval-2026-tool-orchestration-code-execution-study</t>
        </is>
      </c>
      <c r="B179" s="8" t="inlineStr">
        <is>
          <t>From Tool Orchestration to Code Execution: A Study of MCP Design Choices</t>
        </is>
      </c>
      <c r="C179" s="8" t="n">
        <v>2026</v>
      </c>
      <c r="D179" s="8" t="inlineStr">
        <is>
          <t>E2</t>
        </is>
      </c>
      <c r="E179" s="8" t="inlineStr">
        <is>
          <t>scan_cepat</t>
        </is>
      </c>
      <c r="F179" s="8" t="inlineStr">
        <is>
          <t>none</t>
        </is>
      </c>
      <c r="G179" s="9" t="inlineStr">
        <is>
          <t>https://arxiv.org/abs/2602.15945</t>
        </is>
      </c>
      <c r="H179" s="10" t="inlineStr">
        <is>
          <t>ya</t>
        </is>
      </c>
      <c r="I179" s="10" t="inlineStr">
        <is>
          <t>defense_secondary</t>
        </is>
      </c>
      <c r="J179" s="10" t="inlineStr">
        <is>
          <t>CE-MCP</t>
        </is>
      </c>
      <c r="K179" s="10" t="inlineStr">
        <is>
          <t>isolation_containment</t>
        </is>
      </c>
      <c r="L179" s="10" t="inlineStr">
        <is>
          <t>Arsitektur eksekusi kode terisolasi (CE-MCP) yang mendelegasikan orkestrasi alat MCP ke dalam runtime sandbox untuk mengisolasi batas kepercayaan dan memitigasi eksploitasi konteks.</t>
        </is>
      </c>
      <c r="M179" s="10" t="inlineStr">
        <is>
          <t>tidak</t>
        </is>
      </c>
      <c r="N179" s="10" t="inlineStr">
        <is>
          <t>gateway_proxy</t>
        </is>
      </c>
      <c r="O179" s="10" t="inlineStr">
        <is>
          <t>R5;R6</t>
        </is>
      </c>
      <c r="P179" s="10" t="inlineStr">
        <is>
          <t>C5;D1</t>
        </is>
      </c>
      <c r="Q179" s="10" t="inlineStr">
        <is>
          <t>C5;D1</t>
        </is>
      </c>
      <c r="R179" s="10" t="inlineStr">
        <is>
          <t>author_run</t>
        </is>
      </c>
      <c r="S179" s="10" t="n"/>
      <c r="T179" s="10" t="inlineStr">
        <is>
          <t>third_party_public</t>
        </is>
      </c>
      <c r="U179" s="10" t="inlineStr">
        <is>
          <t>tidak</t>
        </is>
      </c>
      <c r="V179" s="10" t="n"/>
      <c r="W179" s="10" t="inlineStr">
        <is>
          <t>Sec. 6, Table 2-4, hal. 7-10</t>
        </is>
      </c>
      <c r="X179" s="10" t="inlineStr">
        <is>
          <t>none</t>
        </is>
      </c>
      <c r="Y179" s="10" t="inlineStr">
        <is>
          <t>dilaporkan: penghematan konsumsi token dan waktu eksekusi (Sec. 6.2)</t>
        </is>
      </c>
      <c r="Z179" s="10" t="inlineStr">
        <is>
          <t>Studi komparasi orkestrasi MCP vs eksekusi kode terisolasi sandbox (CE-MCP) pada benchmark MCP-Bench. Catatan deployment: prototipe internal/eksperimental (belum dirilis secara publik).</t>
        </is>
      </c>
      <c r="AA179" s="11">
        <f>IF(I179="","",IF(OR(I179="attack",I179="survey_review",I179="benchmark_measurement",I179="position_other",I179="not_defense"),"n/a",IF(OR(X179="spec_normatif",X179="produksi_bukti_publik"),"L3",IF(ISNUMBER(SEARCH("independent",R179)),"L2",IF(R179="author_run","L1",IF(R179="none","L0",""))))))</f>
        <v/>
      </c>
      <c r="AB179" s="11">
        <f>IF(I179="","",IF(AND(K179="deterministic_policy",M179="ya"),"PERIKSA: deterministic_policy tetapi LLM/ML ada dalam keputusan. ","")&amp;IF(AND(U179="ya",V179=""),"PERIKSA: adaptif=ya wajib ada kutipan. ","")&amp;IF(AND(R179="none",U179&lt;&gt;"n/a_tanpa_evaluasi",U179&lt;&gt;""),"PERIKSA: tanpa evaluasi, adaptif harus n/a. ","")&amp;IF(AND(OR(R179="author_run",R179="author_run+independent",R179="independent_only"),Q179=""),"PERIKSA: isi kelas_dievaluasi. ","")&amp;IF(AND(OR(R179="author_run",R179="author_run+independent",R179="independent_only"),W179=""),"PERIKSA: isi lokasi_bukti. ","")&amp;IF(AND(H179="tidak",R179&lt;&gt;""),"PERIKSA: tanpa teks lengkap, kosongkan kolom evaluasi. ",""))</f>
        <v/>
      </c>
      <c r="AC179" t="inlineStr">
        <is>
          <t>include</t>
        </is>
      </c>
    </row>
    <row r="180" ht="23.25" customHeight="1" s="21">
      <c r="A180" s="8" t="inlineStr">
        <is>
          <t>zeynab-2026-security-threat-modeling-emerging-ai</t>
        </is>
      </c>
      <c r="B180" s="8" t="inlineStr">
        <is>
          <t>Security Threat Modeling for Emerging AI-Agent Protocols: A Comparative Analysis of MCP, A2A, Agora, and ANP</t>
        </is>
      </c>
      <c r="C180" s="8" t="n">
        <v>2026</v>
      </c>
      <c r="D180" s="8" t="inlineStr">
        <is>
          <t>E2</t>
        </is>
      </c>
      <c r="E180" s="8" t="inlineStr">
        <is>
          <t>scan_cepat</t>
        </is>
      </c>
      <c r="F180" s="8" t="inlineStr">
        <is>
          <t>none</t>
        </is>
      </c>
      <c r="G180" s="9" t="inlineStr">
        <is>
          <t>https://arxiv.org/abs/2602.11327</t>
        </is>
      </c>
      <c r="H180" s="10" t="n"/>
      <c r="I180" s="10" t="inlineStr">
        <is>
          <t>survey_review</t>
        </is>
      </c>
      <c r="J180" s="10" t="n"/>
      <c r="K180" s="10" t="n"/>
      <c r="L180" s="10" t="n"/>
      <c r="M180" s="10" t="n"/>
      <c r="N180" s="10" t="n"/>
      <c r="O180" s="10" t="n"/>
      <c r="P180" s="10" t="n"/>
      <c r="Q180" s="10" t="n"/>
      <c r="R180" s="10" t="n"/>
      <c r="S180" s="10" t="n"/>
      <c r="T180" s="10" t="n"/>
      <c r="U180" s="10" t="n"/>
      <c r="V180" s="10" t="n"/>
      <c r="W180" s="10" t="n"/>
      <c r="X180" s="10" t="n"/>
      <c r="Y180" s="10" t="n"/>
      <c r="Z180" s="10" t="inlineStr">
        <is>
          <t>Analisis pemodelan ancaman komparatif dan kerangka penilaian risiko kualitatif pada protokol komunikasi agen (MCP, A2A, Agora, ANP).</t>
        </is>
      </c>
      <c r="AA180" s="11">
        <f>IF(I180="","",IF(OR(I180="attack",I180="survey_review",I180="benchmark_measurement",I180="position_other",I180="not_defense"),"n/a",IF(OR(X180="spec_normatif",X180="produksi_bukti_publik"),"L3",IF(ISNUMBER(SEARCH("independent",R180)),"L2",IF(R180="author_run","L1",IF(R180="none","L0",""))))))</f>
        <v/>
      </c>
      <c r="AB180" s="11">
        <f>IF(I180="","",IF(AND(K180="deterministic_policy",M180="ya"),"PERIKSA: deterministic_policy tetapi LLM/ML ada dalam keputusan. ","")&amp;IF(AND(U180="ya",V180=""),"PERIKSA: adaptif=ya wajib ada kutipan. ","")&amp;IF(AND(R180="none",U180&lt;&gt;"n/a_tanpa_evaluasi",U180&lt;&gt;""),"PERIKSA: tanpa evaluasi, adaptif harus n/a. ","")&amp;IF(AND(OR(R180="author_run",R180="author_run+independent",R180="independent_only"),Q180=""),"PERIKSA: isi kelas_dievaluasi. ","")&amp;IF(AND(OR(R180="author_run",R180="author_run+independent",R180="independent_only"),W180=""),"PERIKSA: isi lokasi_bukti. ","")&amp;IF(AND(H180="tidak",R180&lt;&gt;""),"PERIKSA: tanpa teks lengkap, kosongkan kolom evaluasi. ",""))</f>
        <v/>
      </c>
      <c r="AC180" t="inlineStr">
        <is>
          <t>include</t>
        </is>
      </c>
    </row>
    <row r="181" ht="23.25" customHeight="1" s="21">
      <c r="A181" s="12" t="inlineStr">
        <is>
          <t>zhaorun-2025-arms-adaptive-red-teaming-agent</t>
        </is>
      </c>
      <c r="B181" s="12" t="inlineStr">
        <is>
          <t>ARMs: Adaptive Red-Teaming Agent against Multimodal Models with Plug-and-Play Attacks</t>
        </is>
      </c>
      <c r="C181" s="12" t="n">
        <v>2025</v>
      </c>
      <c r="D181" s="12" t="inlineStr">
        <is>
          <t>E2</t>
        </is>
      </c>
      <c r="E181" s="12" t="inlineStr">
        <is>
          <t>scan_cepat</t>
        </is>
      </c>
      <c r="F181" s="12" t="inlineStr">
        <is>
          <t>none</t>
        </is>
      </c>
      <c r="G181" s="13" t="inlineStr">
        <is>
          <t>https://arxiv.org/abs/2510.02677</t>
        </is>
      </c>
      <c r="H181" s="12" t="n"/>
      <c r="I181" s="12" t="inlineStr">
        <is>
          <t>attack</t>
        </is>
      </c>
      <c r="J181" s="12" t="n"/>
      <c r="K181" s="12" t="n"/>
      <c r="L181" s="12" t="n"/>
      <c r="M181" s="12" t="n"/>
      <c r="N181" s="12" t="n"/>
      <c r="O181" s="12" t="n"/>
      <c r="P181" s="12" t="n"/>
      <c r="Q181" s="12" t="n"/>
      <c r="R181" s="12" t="n"/>
      <c r="S181" s="12" t="n"/>
      <c r="T181" s="12" t="n"/>
      <c r="U181" s="12" t="n"/>
      <c r="V181" s="12" t="n"/>
      <c r="W181" s="12" t="n"/>
      <c r="X181" s="12" t="n"/>
      <c r="Y181" s="12" t="n"/>
      <c r="Z181" s="12" t="inlineStr">
        <is>
          <t>[AUDIT_v5_EXCLUDE: EC2] Dikeluarkan dari korpus MCP-spesifik oleh audit reviewer kedua v5. (audit lanjutan; diterima koordinator) | Catatan lama: Pengembangan agen red-teaming adaptif (ARMs) untuk menghasilkan serangan multimodal terhadap VLM menggunakan protokol MCP.</t>
        </is>
      </c>
      <c r="AA181" s="12">
        <f>IF(I181="","",IF(OR(I181="attack",I181="survey_review",I181="benchmark_measurement",I181="position_other",I181="not_defense"),"n/a",IF(OR(X181="spec_normatif",X181="produksi_bukti_publik"),"L3",IF(ISNUMBER(SEARCH("independent",R181)),"L2",IF(R181="author_run","L1",IF(R181="none","L0",""))))))</f>
        <v/>
      </c>
      <c r="AB181" s="12">
        <f>IF(I181="","",IF(AND(K181="deterministic_policy",M181="ya"),"PERIKSA: deterministic_policy tetapi LLM/ML ada dalam keputusan. ","")&amp;IF(AND(U181="ya",V181=""),"PERIKSA: adaptif=ya wajib ada kutipan. ","")&amp;IF(AND(R181="none",U181&lt;&gt;"n/a_tanpa_evaluasi",U181&lt;&gt;""),"PERIKSA: tanpa evaluasi, adaptif harus n/a. ","")&amp;IF(AND(OR(R181="author_run",R181="author_run+independent",R181="independent_only"),Q181=""),"PERIKSA: isi kelas_dievaluasi. ","")&amp;IF(AND(OR(R181="author_run",R181="author_run+independent",R181="independent_only"),W181=""),"PERIKSA: isi lokasi_bukti. ","")&amp;IF(AND(H181="tidak",R181&lt;&gt;""),"PERIKSA: tanpa teks lengkap, kosongkan kolom evaluasi. ",""))</f>
        <v/>
      </c>
      <c r="AC181" s="14" t="inlineStr">
        <is>
          <t>exclude</t>
        </is>
      </c>
      <c r="AD181" s="14" t="inlineStr">
        <is>
          <t>EC2</t>
        </is>
      </c>
      <c r="AE181" s="14" t="inlineStr">
        <is>
          <t>audit lanjutan; diterima koordinator</t>
        </is>
      </c>
    </row>
    <row r="182" ht="23.25" customHeight="1" s="21">
      <c r="A182" s="8" t="inlineStr">
        <is>
          <t>zheng-2026-mpma-preference-manipulation-attack-model</t>
        </is>
      </c>
      <c r="B182" s="8" t="inlineStr">
        <is>
          <t>MPMA: Preference Manipulation Attack Against Model Context Protocol</t>
        </is>
      </c>
      <c r="C182" s="8" t="n">
        <v>2026</v>
      </c>
      <c r="D182" s="8" t="inlineStr">
        <is>
          <t>E1</t>
        </is>
      </c>
      <c r="E182" s="8" t="inlineStr">
        <is>
          <t>scan_cepat</t>
        </is>
      </c>
      <c r="F182" s="8" t="inlineStr">
        <is>
          <t>none</t>
        </is>
      </c>
      <c r="G182" s="9" t="inlineStr">
        <is>
          <t>https://doi.org/10.1609/aaai.v40i42.40898</t>
        </is>
      </c>
      <c r="H182" s="10" t="n"/>
      <c r="I182" s="10" t="inlineStr">
        <is>
          <t>attack</t>
        </is>
      </c>
      <c r="J182" s="10" t="n"/>
      <c r="K182" s="10" t="n"/>
      <c r="L182" s="10" t="n"/>
      <c r="M182" s="10" t="n"/>
      <c r="N182" s="10" t="n"/>
      <c r="O182" s="10" t="n"/>
      <c r="P182" s="10" t="n"/>
      <c r="Q182" s="10" t="n"/>
      <c r="R182" s="10" t="n"/>
      <c r="S182" s="10" t="n"/>
      <c r="T182" s="10" t="n"/>
      <c r="U182" s="10" t="n"/>
      <c r="V182" s="10" t="n"/>
      <c r="W182" s="10" t="n"/>
      <c r="X182" s="10" t="n"/>
      <c r="Y182" s="10" t="n"/>
      <c r="Z182" s="10" t="inlineStr">
        <is>
          <t>Perancangan teknik serangan manipulasi preferensi seleksi tool (MPMA/GAPMA) pada ekosistem server MCP tanpa mitigasi yang diuji.</t>
        </is>
      </c>
      <c r="AA182" s="11">
        <f>IF(I182="","",IF(OR(I182="attack",I182="survey_review",I182="benchmark_measurement",I182="position_other",I182="not_defense"),"n/a",IF(OR(X182="spec_normatif",X182="produksi_bukti_publik"),"L3",IF(ISNUMBER(SEARCH("independent",R182)),"L2",IF(R182="author_run","L1",IF(R182="none","L0",""))))))</f>
        <v/>
      </c>
      <c r="AB182" s="11">
        <f>IF(I182="","",IF(AND(K182="deterministic_policy",M182="ya"),"PERIKSA: deterministic_policy tetapi LLM/ML ada dalam keputusan. ","")&amp;IF(AND(U182="ya",V182=""),"PERIKSA: adaptif=ya wajib ada kutipan. ","")&amp;IF(AND(R182="none",U182&lt;&gt;"n/a_tanpa_evaluasi",U182&lt;&gt;""),"PERIKSA: tanpa evaluasi, adaptif harus n/a. ","")&amp;IF(AND(OR(R182="author_run",R182="author_run+independent",R182="independent_only"),Q182=""),"PERIKSA: isi kelas_dievaluasi. ","")&amp;IF(AND(OR(R182="author_run",R182="author_run+independent",R182="independent_only"),W182=""),"PERIKSA: isi lokasi_bukti. ","")&amp;IF(AND(H182="tidak",R182&lt;&gt;""),"PERIKSA: tanpa teks lengkap, kosongkan kolom evaluasi. ",""))</f>
        <v/>
      </c>
      <c r="AC182" t="inlineStr">
        <is>
          <t>include</t>
        </is>
      </c>
    </row>
    <row r="183" ht="23.25" customHeight="1" s="21">
      <c r="A183" s="8" t="inlineStr">
        <is>
          <t>zhihao-2025-we-urgently-need-privilege-management</t>
        </is>
      </c>
      <c r="B183" s="8" t="inlineStr">
        <is>
          <t>We Urgently Need Privilege Management in MCP: A Measurement of API Usage in MCP Ecosystems</t>
        </is>
      </c>
      <c r="C183" s="8" t="n">
        <v>2025</v>
      </c>
      <c r="D183" s="8" t="inlineStr">
        <is>
          <t>E1</t>
        </is>
      </c>
      <c r="E183" s="8" t="inlineStr">
        <is>
          <t>scan_cepat</t>
        </is>
      </c>
      <c r="F183" s="8" t="inlineStr">
        <is>
          <t>none</t>
        </is>
      </c>
      <c r="G183" s="9" t="inlineStr">
        <is>
          <t>https://arxiv.org/abs/2507.06250</t>
        </is>
      </c>
      <c r="H183" s="10" t="n"/>
      <c r="I183" s="10" t="inlineStr">
        <is>
          <t>benchmark_measurement</t>
        </is>
      </c>
      <c r="J183" s="10" t="n"/>
      <c r="K183" s="10" t="n"/>
      <c r="L183" s="10" t="n"/>
      <c r="M183" s="10" t="n"/>
      <c r="N183" s="10" t="n"/>
      <c r="O183" s="10" t="n"/>
      <c r="P183" s="10" t="n"/>
      <c r="Q183" s="10" t="n"/>
      <c r="R183" s="10" t="n"/>
      <c r="S183" s="10" t="n"/>
      <c r="T183" s="10" t="n"/>
      <c r="U183" s="10" t="n"/>
      <c r="V183" s="10" t="n"/>
      <c r="W183" s="10" t="n"/>
      <c r="X183" s="10" t="n"/>
      <c r="Y183" s="10" t="n"/>
      <c r="Z183" s="10" t="inlineStr">
        <is>
          <t>Studi pengukuran empiris penggunaan API dan analisis risiko hak istimewa (privilege management) pada 2.562 server MCP.</t>
        </is>
      </c>
      <c r="AA183" s="11">
        <f>IF(I183="","",IF(OR(I183="attack",I183="survey_review",I183="benchmark_measurement",I183="position_other",I183="not_defense"),"n/a",IF(OR(X183="spec_normatif",X183="produksi_bukti_publik"),"L3",IF(ISNUMBER(SEARCH("independent",R183)),"L2",IF(R183="author_run","L1",IF(R183="none","L0",""))))))</f>
        <v/>
      </c>
      <c r="AB183" s="11">
        <f>IF(I183="","",IF(AND(K183="deterministic_policy",M183="ya"),"PERIKSA: deterministic_policy tetapi LLM/ML ada dalam keputusan. ","")&amp;IF(AND(U183="ya",V183=""),"PERIKSA: adaptif=ya wajib ada kutipan. ","")&amp;IF(AND(R183="none",U183&lt;&gt;"n/a_tanpa_evaluasi",U183&lt;&gt;""),"PERIKSA: tanpa evaluasi, adaptif harus n/a. ","")&amp;IF(AND(OR(R183="author_run",R183="author_run+independent",R183="independent_only"),Q183=""),"PERIKSA: isi kelas_dievaluasi. ","")&amp;IF(AND(OR(R183="author_run",R183="author_run+independent",R183="independent_only"),W183=""),"PERIKSA: isi lokasi_bukti. ","")&amp;IF(AND(H183="tidak",R183&lt;&gt;""),"PERIKSA: tanpa teks lengkap, kosongkan kolom evaluasi. ",""))</f>
        <v/>
      </c>
      <c r="AC183" t="inlineStr">
        <is>
          <t>include</t>
        </is>
      </c>
    </row>
    <row r="184" ht="34.5" customHeight="1" s="21">
      <c r="A184" s="8" t="inlineStr">
        <is>
          <t>zhihao-2026-don-believe-everything-you-read</t>
        </is>
      </c>
      <c r="B184" s="8" t="inlineStr">
        <is>
          <t>Don't believe everything you read: Understanding and Measuring MCP Behavior under Misleading Tool Descriptions</t>
        </is>
      </c>
      <c r="C184" s="8" t="n">
        <v>2026</v>
      </c>
      <c r="D184" s="8" t="inlineStr">
        <is>
          <t>E2</t>
        </is>
      </c>
      <c r="E184" s="8" t="inlineStr">
        <is>
          <t>scan_cepat</t>
        </is>
      </c>
      <c r="F184" s="8" t="inlineStr">
        <is>
          <t>none</t>
        </is>
      </c>
      <c r="G184" s="9" t="inlineStr">
        <is>
          <t>https://arxiv.org/abs/2602.03580</t>
        </is>
      </c>
      <c r="H184" s="10" t="n"/>
      <c r="I184" s="10" t="inlineStr">
        <is>
          <t>benchmark_measurement</t>
        </is>
      </c>
      <c r="J184" s="10" t="n"/>
      <c r="K184" s="10" t="n"/>
      <c r="L184" s="10" t="n"/>
      <c r="M184" s="10" t="n"/>
      <c r="N184" s="10" t="n"/>
      <c r="O184" s="10" t="n"/>
      <c r="P184" s="10" t="n"/>
      <c r="Q184" s="10" t="n"/>
      <c r="R184" s="10" t="n"/>
      <c r="S184" s="10" t="n"/>
      <c r="T184" s="10" t="n"/>
      <c r="U184" s="10" t="n"/>
      <c r="V184" s="10" t="n"/>
      <c r="W184" s="10" t="n"/>
      <c r="X184" s="10" t="n"/>
      <c r="Y184" s="10" t="n"/>
      <c r="Z184" s="10" t="inlineStr">
        <is>
          <t>Studi pengukuran empiris skala besar mengenai inkonsistensi antara deskripsi tool dan kode implementasi pada 10.240 server MCP.</t>
        </is>
      </c>
      <c r="AA184" s="11">
        <f>IF(I184="","",IF(OR(I184="attack",I184="survey_review",I184="benchmark_measurement",I184="position_other",I184="not_defense"),"n/a",IF(OR(X184="spec_normatif",X184="produksi_bukti_publik"),"L3",IF(ISNUMBER(SEARCH("independent",R184)),"L2",IF(R184="author_run","L1",IF(R184="none","L0",""))))))</f>
        <v/>
      </c>
      <c r="AB184" s="11">
        <f>IF(I184="","",IF(AND(K184="deterministic_policy",M184="ya"),"PERIKSA: deterministic_policy tetapi LLM/ML ada dalam keputusan. ","")&amp;IF(AND(U184="ya",V184=""),"PERIKSA: adaptif=ya wajib ada kutipan. ","")&amp;IF(AND(R184="none",U184&lt;&gt;"n/a_tanpa_evaluasi",U184&lt;&gt;""),"PERIKSA: tanpa evaluasi, adaptif harus n/a. ","")&amp;IF(AND(OR(R184="author_run",R184="author_run+independent",R184="independent_only"),Q184=""),"PERIKSA: isi kelas_dievaluasi. ","")&amp;IF(AND(OR(R184="author_run",R184="author_run+independent",R184="independent_only"),W184=""),"PERIKSA: isi lokasi_bukti. ","")&amp;IF(AND(H184="tidak",R184&lt;&gt;""),"PERIKSA: tanpa teks lengkap, kosongkan kolom evaluasi. ",""))</f>
        <v/>
      </c>
      <c r="AC184" t="inlineStr">
        <is>
          <t>include</t>
        </is>
      </c>
    </row>
    <row r="185" ht="23.25" customHeight="1" s="21">
      <c r="A185" s="8" t="inlineStr">
        <is>
          <t>zhiqiang-2025-mcptox-benchmark-tool-poisoning-attack</t>
        </is>
      </c>
      <c r="B185" s="8" t="inlineStr">
        <is>
          <t>MCPTox: A Benchmark for Tool Poisoning Attack on Real-World MCP Servers</t>
        </is>
      </c>
      <c r="C185" s="8" t="n">
        <v>2025</v>
      </c>
      <c r="D185" s="8" t="inlineStr">
        <is>
          <t>E1</t>
        </is>
      </c>
      <c r="E185" s="8" t="inlineStr">
        <is>
          <t>scan_cepat</t>
        </is>
      </c>
      <c r="F185" s="8" t="inlineStr">
        <is>
          <t>none</t>
        </is>
      </c>
      <c r="G185" s="9" t="inlineStr">
        <is>
          <t>https://arxiv.org/abs/2508.14925</t>
        </is>
      </c>
      <c r="H185" s="10" t="n"/>
      <c r="I185" s="10" t="inlineStr">
        <is>
          <t>benchmark_measurement</t>
        </is>
      </c>
      <c r="J185" s="10" t="n"/>
      <c r="K185" s="10" t="n"/>
      <c r="L185" s="10" t="n"/>
      <c r="M185" s="10" t="n"/>
      <c r="N185" s="10" t="n"/>
      <c r="O185" s="10" t="n"/>
      <c r="P185" s="10" t="n"/>
      <c r="Q185" s="10" t="n"/>
      <c r="R185" s="10" t="n"/>
      <c r="S185" s="10" t="n"/>
      <c r="T185" s="10" t="n"/>
      <c r="U185" s="10" t="n"/>
      <c r="V185" s="10" t="n"/>
      <c r="W185" s="10" t="n"/>
      <c r="X185" s="10" t="n"/>
      <c r="Y185" s="10" t="n"/>
      <c r="Z185" s="10" t="inlineStr">
        <is>
          <t>Tolok ukur keamanan (MCPTox) dan dataset 1.312 kasus uji untuk mengevaluasi kerentanan agen terhadap tool poisoning pada MCP.</t>
        </is>
      </c>
      <c r="AA185" s="11">
        <f>IF(I185="","",IF(OR(I185="attack",I185="survey_review",I185="benchmark_measurement",I185="position_other",I185="not_defense"),"n/a",IF(OR(X185="spec_normatif",X185="produksi_bukti_publik"),"L3",IF(ISNUMBER(SEARCH("independent",R185)),"L2",IF(R185="author_run","L1",IF(R185="none","L0",""))))))</f>
        <v/>
      </c>
      <c r="AB185" s="11">
        <f>IF(I185="","",IF(AND(K185="deterministic_policy",M185="ya"),"PERIKSA: deterministic_policy tetapi LLM/ML ada dalam keputusan. ","")&amp;IF(AND(U185="ya",V185=""),"PERIKSA: adaptif=ya wajib ada kutipan. ","")&amp;IF(AND(R185="none",U185&lt;&gt;"n/a_tanpa_evaluasi",U185&lt;&gt;""),"PERIKSA: tanpa evaluasi, adaptif harus n/a. ","")&amp;IF(AND(OR(R185="author_run",R185="author_run+independent",R185="independent_only"),Q185=""),"PERIKSA: isi kelas_dievaluasi. ","")&amp;IF(AND(OR(R185="author_run",R185="author_run+independent",R185="independent_only"),W185=""),"PERIKSA: isi lokasi_bukti. ","")&amp;IF(AND(H185="tidak",R185&lt;&gt;""),"PERIKSA: tanpa teks lengkap, kosongkan kolom evaluasi. ",""))</f>
        <v/>
      </c>
      <c r="AC185" t="inlineStr">
        <is>
          <t>include</t>
        </is>
      </c>
    </row>
    <row r="186" ht="23.25" customHeight="1" s="21">
      <c r="A186" s="8" t="inlineStr">
        <is>
          <t>zhiyuan-2026-confused-deputy-attack-model-context</t>
        </is>
      </c>
      <c r="B186" s="8" t="inlineStr">
        <is>
          <t>Confused Deputy Attack Against Model Context Protocol</t>
        </is>
      </c>
      <c r="C186" s="8" t="n">
        <v>2026</v>
      </c>
      <c r="D186" s="8" t="inlineStr">
        <is>
          <t>E1</t>
        </is>
      </c>
      <c r="E186" s="8" t="inlineStr">
        <is>
          <t>scan_cepat</t>
        </is>
      </c>
      <c r="F186" s="8" t="inlineStr">
        <is>
          <t>none</t>
        </is>
      </c>
      <c r="G186" s="9" t="inlineStr">
        <is>
          <t>https://doi.org/10.1145/3830467</t>
        </is>
      </c>
      <c r="H186" s="10" t="inlineStr">
        <is>
          <t>ya</t>
        </is>
      </c>
      <c r="I186" s="10" t="inlineStr">
        <is>
          <t>attack</t>
        </is>
      </c>
      <c r="J186" s="10" t="n"/>
      <c r="K186" s="10" t="n"/>
      <c r="L186" s="10" t="n"/>
      <c r="M186" s="10" t="n"/>
      <c r="N186" s="10" t="n"/>
      <c r="O186" s="10" t="n"/>
      <c r="P186" s="10" t="inlineStr">
        <is>
          <t>A1;A3</t>
        </is>
      </c>
      <c r="Q186" s="10" t="inlineStr">
        <is>
          <t>A1;A3</t>
        </is>
      </c>
      <c r="R186" s="10" t="n"/>
      <c r="S186" s="10" t="n"/>
      <c r="T186" s="10" t="n"/>
      <c r="U186" s="10" t="n"/>
      <c r="V186" s="10" t="n"/>
      <c r="W186" s="10" t="n"/>
      <c r="X186" s="10" t="n"/>
      <c r="Y186" s="10" t="n"/>
      <c r="Z186" s="10" t="inlineStr">
        <is>
          <t>Puppet (ACM TOSEM). Penulis melabeli serangan sebagai Confused Deputy, namun mekanisme teknisnya adalah pembajakan seleksi tool via rekayasa deskripsi/skema (A1/A3) tanpa eksploitasi wewenang sesi perantara. Evaluator independen bagi McpSafetyScanner (Tabel 8, DER 20-36%).</t>
        </is>
      </c>
      <c r="AA186" s="11">
        <f>IF(I186="","",IF(OR(I186="attack",I186="survey_review",I186="benchmark_measurement",I186="position_other",I186="not_defense"),"n/a",IF(OR(X186="spec_normatif",X186="produksi_bukti_publik"),"L3",IF(ISNUMBER(SEARCH("independent",R186)),"L2",IF(R186="author_run","L1",IF(R186="none","L0",""))))))</f>
        <v/>
      </c>
      <c r="AB186" s="11">
        <f>IF(I186="","",IF(AND(K186="deterministic_policy",M186="ya"),"PERIKSA: deterministic_policy tetapi LLM/ML ada dalam keputusan. ","")&amp;IF(AND(U186="ya",V186=""),"PERIKSA: adaptif=ya wajib ada kutipan. ","")&amp;IF(AND(R186="none",U186&lt;&gt;"n/a_tanpa_evaluasi",U186&lt;&gt;""),"PERIKSA: tanpa evaluasi, adaptif harus n/a. ","")&amp;IF(AND(OR(R186="author_run",R186="author_run+independent",R186="independent_only"),Q186=""),"PERIKSA: isi kelas_dievaluasi. ","")&amp;IF(AND(OR(R186="author_run",R186="author_run+independent",R186="independent_only"),W186=""),"PERIKSA: isi lokasi_bukti. ","")&amp;IF(AND(H186="tidak",R186&lt;&gt;""),"PERIKSA: tanpa teks lengkap, kosongkan kolom evaluasi. ",""))</f>
        <v/>
      </c>
      <c r="AC186" t="inlineStr">
        <is>
          <t>include</t>
        </is>
      </c>
    </row>
    <row r="187" ht="23.25" customHeight="1" s="21">
      <c r="A187" s="12" t="inlineStr">
        <is>
          <t>zhonghao-2026-how-adversarial-environments-mislead-agentic</t>
        </is>
      </c>
      <c r="B187" s="12" t="inlineStr">
        <is>
          <t>How Adversarial Environments Mislead Agentic AI?</t>
        </is>
      </c>
      <c r="C187" s="12" t="n">
        <v>2026</v>
      </c>
      <c r="D187" s="12" t="inlineStr">
        <is>
          <t>E2</t>
        </is>
      </c>
      <c r="E187" s="12" t="inlineStr">
        <is>
          <t>scan_cepat</t>
        </is>
      </c>
      <c r="F187" s="12" t="inlineStr">
        <is>
          <t>none</t>
        </is>
      </c>
      <c r="G187" s="13" t="inlineStr">
        <is>
          <t>https://arxiv.org/abs/2604.18874</t>
        </is>
      </c>
      <c r="H187" s="12" t="n"/>
      <c r="I187" s="12" t="inlineStr">
        <is>
          <t>attack</t>
        </is>
      </c>
      <c r="J187" s="12" t="n"/>
      <c r="K187" s="12" t="n"/>
      <c r="L187" s="12" t="n"/>
      <c r="M187" s="12" t="n"/>
      <c r="N187" s="12" t="n"/>
      <c r="O187" s="12" t="n"/>
      <c r="P187" s="12" t="n"/>
      <c r="Q187" s="12" t="n"/>
      <c r="R187" s="12" t="n"/>
      <c r="S187" s="12" t="n"/>
      <c r="T187" s="12" t="n"/>
      <c r="U187" s="12" t="n"/>
      <c r="V187" s="12" t="n"/>
      <c r="W187" s="12" t="n"/>
      <c r="X187" s="12" t="n"/>
      <c r="Y187" s="12" t="n"/>
      <c r="Z187" s="12" t="inlineStr">
        <is>
          <t>[AUDIT_v5_EXCLUDE: EC2] Dikeluarkan dari korpus MCP-spesifik oleh audit reviewer kedua v5. (dikeluarkan setelah audit reviewer kedua + rekonsiliasi) | Catatan lama: Pemodelan ancaman Adversarial Environmental Injection (AEI) dan pengujian serangan manipulasi output tool lingkungan MCP (POTEMKIN).</t>
        </is>
      </c>
      <c r="AA187" s="12">
        <f>IF(I187="","",IF(OR(I187="attack",I187="survey_review",I187="benchmark_measurement",I187="position_other",I187="not_defense"),"n/a",IF(OR(X187="spec_normatif",X187="produksi_bukti_publik"),"L3",IF(ISNUMBER(SEARCH("independent",R187)),"L2",IF(R187="author_run","L1",IF(R187="none","L0",""))))))</f>
        <v/>
      </c>
      <c r="AB187" s="12">
        <f>IF(I187="","",IF(AND(K187="deterministic_policy",M187="ya"),"PERIKSA: deterministic_policy tetapi LLM/ML ada dalam keputusan. ","")&amp;IF(AND(U187="ya",V187=""),"PERIKSA: adaptif=ya wajib ada kutipan. ","")&amp;IF(AND(R187="none",U187&lt;&gt;"n/a_tanpa_evaluasi",U187&lt;&gt;""),"PERIKSA: tanpa evaluasi, adaptif harus n/a. ","")&amp;IF(AND(OR(R187="author_run",R187="author_run+independent",R187="independent_only"),Q187=""),"PERIKSA: isi kelas_dievaluasi. ","")&amp;IF(AND(OR(R187="author_run",R187="author_run+independent",R187="independent_only"),W187=""),"PERIKSA: isi lokasi_bukti. ","")&amp;IF(AND(H187="tidak",R187&lt;&gt;""),"PERIKSA: tanpa teks lengkap, kosongkan kolom evaluasi. ",""))</f>
        <v/>
      </c>
      <c r="AC187" s="14" t="inlineStr">
        <is>
          <t>exclude</t>
        </is>
      </c>
      <c r="AD187" s="14" t="inlineStr">
        <is>
          <t>EC2</t>
        </is>
      </c>
      <c r="AE187" s="14" t="inlineStr">
        <is>
          <t>dikeluarkan setelah audit reviewer kedua + rekonsiliasi</t>
        </is>
      </c>
    </row>
  </sheetData>
  <autoFilter ref="A1:AB18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3" r:id="rId30"/>
    <hyperlink xmlns:r="http://schemas.openxmlformats.org/officeDocument/2006/relationships" ref="G34" r:id="rId31"/>
    <hyperlink xmlns:r="http://schemas.openxmlformats.org/officeDocument/2006/relationships" ref="G35" r:id="rId32"/>
    <hyperlink xmlns:r="http://schemas.openxmlformats.org/officeDocument/2006/relationships" ref="G36" r:id="rId33"/>
    <hyperlink xmlns:r="http://schemas.openxmlformats.org/officeDocument/2006/relationships" ref="G37" r:id="rId34"/>
    <hyperlink xmlns:r="http://schemas.openxmlformats.org/officeDocument/2006/relationships" ref="G38" r:id="rId35"/>
    <hyperlink xmlns:r="http://schemas.openxmlformats.org/officeDocument/2006/relationships" ref="G39" r:id="rId36"/>
    <hyperlink xmlns:r="http://schemas.openxmlformats.org/officeDocument/2006/relationships" ref="G40" r:id="rId37"/>
    <hyperlink xmlns:r="http://schemas.openxmlformats.org/officeDocument/2006/relationships" ref="G41" r:id="rId38"/>
    <hyperlink xmlns:r="http://schemas.openxmlformats.org/officeDocument/2006/relationships" ref="G42" r:id="rId39"/>
    <hyperlink xmlns:r="http://schemas.openxmlformats.org/officeDocument/2006/relationships" ref="G43" r:id="rId40"/>
    <hyperlink xmlns:r="http://schemas.openxmlformats.org/officeDocument/2006/relationships" ref="G44" r:id="rId41"/>
    <hyperlink xmlns:r="http://schemas.openxmlformats.org/officeDocument/2006/relationships" ref="G45" r:id="rId42"/>
    <hyperlink xmlns:r="http://schemas.openxmlformats.org/officeDocument/2006/relationships" ref="G46" r:id="rId43"/>
    <hyperlink xmlns:r="http://schemas.openxmlformats.org/officeDocument/2006/relationships" ref="G47" r:id="rId44"/>
    <hyperlink xmlns:r="http://schemas.openxmlformats.org/officeDocument/2006/relationships" ref="G48" r:id="rId45"/>
    <hyperlink xmlns:r="http://schemas.openxmlformats.org/officeDocument/2006/relationships" ref="G49" r:id="rId46"/>
    <hyperlink xmlns:r="http://schemas.openxmlformats.org/officeDocument/2006/relationships" ref="G50" r:id="rId47"/>
    <hyperlink xmlns:r="http://schemas.openxmlformats.org/officeDocument/2006/relationships" ref="G51" r:id="rId48"/>
    <hyperlink xmlns:r="http://schemas.openxmlformats.org/officeDocument/2006/relationships" ref="G52" r:id="rId49"/>
    <hyperlink xmlns:r="http://schemas.openxmlformats.org/officeDocument/2006/relationships" ref="G53" r:id="rId50"/>
    <hyperlink xmlns:r="http://schemas.openxmlformats.org/officeDocument/2006/relationships" ref="G54" r:id="rId51"/>
    <hyperlink xmlns:r="http://schemas.openxmlformats.org/officeDocument/2006/relationships" ref="G55" r:id="rId52"/>
    <hyperlink xmlns:r="http://schemas.openxmlformats.org/officeDocument/2006/relationships" ref="G56" r:id="rId53"/>
    <hyperlink xmlns:r="http://schemas.openxmlformats.org/officeDocument/2006/relationships" ref="G57" r:id="rId54"/>
    <hyperlink xmlns:r="http://schemas.openxmlformats.org/officeDocument/2006/relationships" ref="G58" r:id="rId55"/>
    <hyperlink xmlns:r="http://schemas.openxmlformats.org/officeDocument/2006/relationships" ref="G59"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41" r:id="rId134"/>
    <hyperlink xmlns:r="http://schemas.openxmlformats.org/officeDocument/2006/relationships" ref="G142" r:id="rId135"/>
    <hyperlink xmlns:r="http://schemas.openxmlformats.org/officeDocument/2006/relationships" ref="G143" r:id="rId136"/>
    <hyperlink xmlns:r="http://schemas.openxmlformats.org/officeDocument/2006/relationships" ref="G144" r:id="rId137"/>
    <hyperlink xmlns:r="http://schemas.openxmlformats.org/officeDocument/2006/relationships" ref="G145" r:id="rId138"/>
    <hyperlink xmlns:r="http://schemas.openxmlformats.org/officeDocument/2006/relationships" ref="G146" r:id="rId139"/>
    <hyperlink xmlns:r="http://schemas.openxmlformats.org/officeDocument/2006/relationships" ref="G147" r:id="rId140"/>
    <hyperlink xmlns:r="http://schemas.openxmlformats.org/officeDocument/2006/relationships" ref="G148" r:id="rId141"/>
    <hyperlink xmlns:r="http://schemas.openxmlformats.org/officeDocument/2006/relationships" ref="G149" r:id="rId142"/>
    <hyperlink xmlns:r="http://schemas.openxmlformats.org/officeDocument/2006/relationships" ref="G150" r:id="rId143"/>
    <hyperlink xmlns:r="http://schemas.openxmlformats.org/officeDocument/2006/relationships" ref="G151" r:id="rId144"/>
    <hyperlink xmlns:r="http://schemas.openxmlformats.org/officeDocument/2006/relationships" ref="G152" r:id="rId145"/>
    <hyperlink xmlns:r="http://schemas.openxmlformats.org/officeDocument/2006/relationships" ref="G153" r:id="rId146"/>
    <hyperlink xmlns:r="http://schemas.openxmlformats.org/officeDocument/2006/relationships" ref="G154" r:id="rId147"/>
    <hyperlink xmlns:r="http://schemas.openxmlformats.org/officeDocument/2006/relationships" ref="G155" r:id="rId148"/>
    <hyperlink xmlns:r="http://schemas.openxmlformats.org/officeDocument/2006/relationships" ref="G156" r:id="rId149"/>
    <hyperlink xmlns:r="http://schemas.openxmlformats.org/officeDocument/2006/relationships" ref="G157" r:id="rId150"/>
    <hyperlink xmlns:r="http://schemas.openxmlformats.org/officeDocument/2006/relationships" ref="G158" r:id="rId151"/>
    <hyperlink xmlns:r="http://schemas.openxmlformats.org/officeDocument/2006/relationships" ref="G159" r:id="rId152"/>
    <hyperlink xmlns:r="http://schemas.openxmlformats.org/officeDocument/2006/relationships" ref="G160" r:id="rId153"/>
    <hyperlink xmlns:r="http://schemas.openxmlformats.org/officeDocument/2006/relationships" ref="G161" r:id="rId154"/>
    <hyperlink xmlns:r="http://schemas.openxmlformats.org/officeDocument/2006/relationships" ref="G162" r:id="rId155"/>
    <hyperlink xmlns:r="http://schemas.openxmlformats.org/officeDocument/2006/relationships" ref="G163" r:id="rId156"/>
    <hyperlink xmlns:r="http://schemas.openxmlformats.org/officeDocument/2006/relationships" ref="G164" r:id="rId157"/>
    <hyperlink xmlns:r="http://schemas.openxmlformats.org/officeDocument/2006/relationships" ref="G165" r:id="rId158"/>
    <hyperlink xmlns:r="http://schemas.openxmlformats.org/officeDocument/2006/relationships" ref="G166" r:id="rId159"/>
    <hyperlink xmlns:r="http://schemas.openxmlformats.org/officeDocument/2006/relationships" ref="G167" r:id="rId160"/>
    <hyperlink xmlns:r="http://schemas.openxmlformats.org/officeDocument/2006/relationships" ref="G168" r:id="rId161"/>
    <hyperlink xmlns:r="http://schemas.openxmlformats.org/officeDocument/2006/relationships" ref="G169" r:id="rId162"/>
    <hyperlink xmlns:r="http://schemas.openxmlformats.org/officeDocument/2006/relationships" ref="G170" r:id="rId163"/>
    <hyperlink xmlns:r="http://schemas.openxmlformats.org/officeDocument/2006/relationships" ref="G171" r:id="rId164"/>
    <hyperlink xmlns:r="http://schemas.openxmlformats.org/officeDocument/2006/relationships" ref="G172" r:id="rId165"/>
    <hyperlink xmlns:r="http://schemas.openxmlformats.org/officeDocument/2006/relationships" ref="G173" r:id="rId166"/>
    <hyperlink xmlns:r="http://schemas.openxmlformats.org/officeDocument/2006/relationships" ref="G174" r:id="rId167"/>
    <hyperlink xmlns:r="http://schemas.openxmlformats.org/officeDocument/2006/relationships" ref="G175" r:id="rId168"/>
    <hyperlink xmlns:r="http://schemas.openxmlformats.org/officeDocument/2006/relationships" ref="G176" r:id="rId169"/>
    <hyperlink xmlns:r="http://schemas.openxmlformats.org/officeDocument/2006/relationships" ref="G177" r:id="rId170"/>
    <hyperlink xmlns:r="http://schemas.openxmlformats.org/officeDocument/2006/relationships" ref="G178" r:id="rId171"/>
    <hyperlink xmlns:r="http://schemas.openxmlformats.org/officeDocument/2006/relationships" ref="G179" r:id="rId172"/>
    <hyperlink xmlns:r="http://schemas.openxmlformats.org/officeDocument/2006/relationships" ref="G180" r:id="rId173"/>
    <hyperlink xmlns:r="http://schemas.openxmlformats.org/officeDocument/2006/relationships" ref="G181" r:id="rId174"/>
    <hyperlink xmlns:r="http://schemas.openxmlformats.org/officeDocument/2006/relationships" ref="G182" r:id="rId175"/>
    <hyperlink xmlns:r="http://schemas.openxmlformats.org/officeDocument/2006/relationships" ref="G183" r:id="rId176"/>
    <hyperlink xmlns:r="http://schemas.openxmlformats.org/officeDocument/2006/relationships" ref="G184" r:id="rId177"/>
    <hyperlink xmlns:r="http://schemas.openxmlformats.org/officeDocument/2006/relationships" ref="G185" r:id="rId178"/>
    <hyperlink xmlns:r="http://schemas.openxmlformats.org/officeDocument/2006/relationships" ref="G186" r:id="rId179"/>
    <hyperlink xmlns:r="http://schemas.openxmlformats.org/officeDocument/2006/relationships" ref="G187" r:id="rId18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23"/>
  <sheetViews>
    <sheetView tabSelected="1" zoomScaleNormal="100" workbookViewId="0">
      <selection activeCell="A1" sqref="A1"/>
    </sheetView>
  </sheetViews>
  <sheetFormatPr baseColWidth="8" defaultColWidth="8.6328125" defaultRowHeight="14.5"/>
  <cols>
    <col width="44" customWidth="1" style="21" min="1" max="1"/>
    <col width="130" customWidth="1" style="21" min="2" max="2"/>
  </cols>
  <sheetData>
    <row r="1" ht="15" customHeight="1" s="21">
      <c r="A1" s="15" t="inlineStr">
        <is>
          <t>KODE</t>
        </is>
      </c>
      <c r="B1" s="15" t="inlineStr">
        <is>
          <t>DEFINISI OPERASIONAL</t>
        </is>
      </c>
    </row>
    <row r="2" ht="15" customHeight="1" s="21">
      <c r="A2" s="1" t="inlineStr">
        <is>
          <t>defense_primary</t>
        </is>
      </c>
      <c r="B2" s="2" t="inlineStr">
        <is>
          <t>Kontribusi utama paper adalah mekanisme pertahanan yang diimplementasikan atau dispesifikasikan.</t>
        </is>
      </c>
    </row>
    <row r="3" ht="15" customHeight="1" s="21">
      <c r="A3" s="1" t="inlineStr">
        <is>
          <t>defense_secondary</t>
        </is>
      </c>
      <c r="B3" s="2" t="inlineStr">
        <is>
          <t>Kontribusi utama serangan, pengukuran, atau survei, tetapi paper mengimplementasikan DAN mengevaluasi minimal satu mitigasi.</t>
        </is>
      </c>
    </row>
    <row r="4" ht="15" customHeight="1" s="21">
      <c r="A4" s="1" t="inlineStr">
        <is>
          <t>proposal_only</t>
        </is>
      </c>
      <c r="B4" s="2" t="inlineStr">
        <is>
          <t>Merekomendasikan atau menyketsa mitigasi tanpa implementasi atau evaluasi. Survei/SLR atas pertahanan BUKAN proposal_only: pakai survey_review.</t>
        </is>
      </c>
    </row>
    <row r="5" ht="15" customHeight="1" s="21">
      <c r="A5" s="1" t="inlineStr">
        <is>
          <t>attack</t>
        </is>
      </c>
      <c r="B5" s="2" t="inlineStr">
        <is>
          <t>Kontribusi utama serangan atau eksploit, tanpa mitigasi yang dievaluasi.</t>
        </is>
      </c>
    </row>
    <row r="6" ht="15" customHeight="1" s="21">
      <c r="A6" s="1" t="inlineStr">
        <is>
          <t>survey_review</t>
        </is>
      </c>
      <c r="B6" s="2" t="inlineStr">
        <is>
          <t>Survei, SLR, taksonomi, atau tinjauan.</t>
        </is>
      </c>
    </row>
    <row r="7" ht="15" customHeight="1" s="21">
      <c r="A7" s="1" t="inlineStr">
        <is>
          <t>benchmark_measurement</t>
        </is>
      </c>
      <c r="B7" s="2" t="inlineStr">
        <is>
          <t>Benchmark, dataset, atau studi pengukuran tanpa mitigasi yang dievaluasi.</t>
        </is>
      </c>
    </row>
    <row r="8" ht="15" customHeight="1" s="21">
      <c r="A8" s="1" t="inlineStr">
        <is>
          <t>position_other</t>
        </is>
      </c>
      <c r="B8" s="2" t="inlineStr">
        <is>
          <t>Makalah posisi, konseptual, indeks/kerangka penilaian tanpa mekanisme penegakan.</t>
        </is>
      </c>
    </row>
    <row r="9" ht="15" customHeight="1" s="21">
      <c r="A9" s="1" t="inlineStr">
        <is>
          <t>not_defense</t>
        </is>
      </c>
      <c r="B9" s="2" t="inlineStr">
        <is>
          <t>Di luar cakupan pertahanan karena alasan lain (jelaskan di catatan).</t>
        </is>
      </c>
    </row>
    <row r="10" ht="23.25" customHeight="1" s="21">
      <c r="A10" s="1" t="inlineStr">
        <is>
          <t>llm_dlm_keputusan = ya</t>
        </is>
      </c>
      <c r="B10" s="2" t="inlineStr">
        <is>
          <t>Keputusan izin/tolak/deteksi pada runtime bergantung pada keluaran LLM atau model ML (LLM-as-judge, klasifikator ML, LLM yang menormalisasi input dan hasilnya menentukan keputusan).</t>
        </is>
      </c>
    </row>
    <row r="11" ht="15" customHeight="1" s="21">
      <c r="A11" s="1" t="inlineStr">
        <is>
          <t>llm_dlm_keputusan = tidak</t>
        </is>
      </c>
      <c r="B11" s="2" t="inlineStr">
        <is>
          <t>Keputusan murni dari aturan, kriptografi, atau mekanisme OS. Hanya kasus ini yang boleh berparadigma deterministic_policy.</t>
        </is>
      </c>
    </row>
    <row r="12" ht="15" customHeight="1" s="21">
      <c r="A12" s="1" t="inlineStr">
        <is>
          <t>paradigma</t>
        </is>
      </c>
      <c r="B12" s="2" t="inlineStr">
        <is>
          <t>Pilih prinsip penegakan, bukan nama produk. Hibrida: pilih yang menentukan keputusan akhir dan jelaskan sisanya di ringkasan.</t>
        </is>
      </c>
    </row>
    <row r="13" ht="15" customHeight="1" s="21">
      <c r="A13" s="1" t="inlineStr">
        <is>
          <t>crossings</t>
        </is>
      </c>
      <c r="B13" s="2" t="inlineStr">
        <is>
          <t>R1 U-&gt;H; R2 Si-&gt;L; R3 L-&gt;Si; R4 C&lt;-&gt;Theta / Si&lt;-&gt;Theta; R5 Si-&gt;Xi; R6 komposisi lintas S1..Sk; R7 descriptor(t1) vs descriptor(t0).</t>
        </is>
      </c>
    </row>
    <row r="14" ht="34.5" customHeight="1" s="21">
      <c r="A14" s="1" t="inlineStr">
        <is>
          <t>kelas</t>
        </is>
      </c>
      <c r="B14" s="2" t="inlineStr">
        <is>
          <t>A1 poisoning metadata; A2 injeksi tak langsung; A3 miscall deskripsi; B1 rug pull; B2 drift registri; B3 mutasi skema; C1 confused deputy; C2 caller identity; C3 otorisasi transport; C4 intent inversion; C5 sink enforcement; D1 komposisi/eksfiltrasi; D2 bypass guardrail multi-langkah; D3 supply chain. Penyalahgunaan sumber daya/DoS: tulis OUT_OF_TAXONOMY.</t>
        </is>
      </c>
    </row>
    <row r="15" ht="15" customHeight="1" s="21">
      <c r="A15" s="1" t="inlineStr">
        <is>
          <t>kelas_dievaluasi</t>
        </is>
      </c>
      <c r="B15" s="2" t="inlineStr">
        <is>
          <t>Hanya kelas yang punya eksperimen di paper. Kelas yang cuma diklaim masuk kelas_diklaim. Kelas_dievaluasi harus subset kelas_diklaim.</t>
        </is>
      </c>
    </row>
    <row r="16" ht="23.25" customHeight="1" s="21">
      <c r="A16" s="1" t="inlineStr">
        <is>
          <t>jenis_evaluasi = independent_only / author_run+independent</t>
        </is>
      </c>
      <c r="B16" s="2" t="inlineStr">
        <is>
          <t>Paper LAIN di korpus mengeksekusi eksperimen terhadap pertahanan ini (isi evaluator_independen). Sekadar menyebut atau mengutip tidak dihitung. Perbandingan baseline oleh paper pesaing dihitung, beri catatan "baseline pesaing".</t>
        </is>
      </c>
    </row>
    <row r="17" ht="15" customHeight="1" s="21">
      <c r="A17" s="1" t="inlineStr">
        <is>
          <t>jenis_evaluasi = deployment_measurement</t>
        </is>
      </c>
      <c r="B17" s="2" t="inlineStr">
        <is>
          <t>Studi pengukuran mengamati kontrol ini di deployment nyata (mis. berapa server yang mengimplementasikannya). Maturitas dibiarkan kosong.</t>
        </is>
      </c>
    </row>
    <row r="18" ht="23.25" customHeight="1" s="21">
      <c r="A18" s="1" t="inlineStr">
        <is>
          <t>adaptif = ya</t>
        </is>
      </c>
      <c r="B18" s="2" t="inlineStr">
        <is>
          <t>Serangan dirancang atau dioptimasi terhadap pertahanan ini dengan pengetahuan cara kerjanya (white-box, defense-aware, iterasi terhadap keputusan pertahanan). Wajib ada kutipan.</t>
        </is>
      </c>
    </row>
    <row r="19" ht="15" customHeight="1" s="21">
      <c r="A19" s="1" t="inlineStr">
        <is>
          <t>adaptif = tidak</t>
        </is>
      </c>
      <c r="B19" s="2" t="inlineStr">
        <is>
          <t>Serangan dari dataset atau benchmark tetap, termasuk variasi parafrase atau "unseen", kecuali disetel terhadap pertahanan.</t>
        </is>
      </c>
    </row>
    <row r="20" ht="15" customHeight="1" s="21">
      <c r="A20" s="1" t="inlineStr">
        <is>
          <t>adaptif = tidak_jelas</t>
        </is>
      </c>
      <c r="B20" s="2" t="inlineStr">
        <is>
          <t>Teks tidak memungkinkan keputusan. Jangan diputuskan lewat dugaan.</t>
        </is>
      </c>
    </row>
    <row r="21" ht="15" customHeight="1" s="21">
      <c r="A21" s="1" t="inlineStr">
        <is>
          <t>adaptif = n/a_tanpa_evaluasi</t>
        </is>
      </c>
      <c r="B21" s="2" t="inlineStr">
        <is>
          <t>Tidak ada evaluasi empiris (jenis_evaluasi = none).</t>
        </is>
      </c>
    </row>
    <row r="22" ht="23.25" customHeight="1" s="21">
      <c r="A22" s="1" t="inlineStr">
        <is>
          <t>deployment</t>
        </is>
      </c>
      <c r="B22" s="2" t="inlineStr">
        <is>
          <t>spec_normatif: MUST/SHOULD di revisi spesifikasi (bukti: Tabel 14 Section 5). produksi_bukti_publik: rilis atau dokumentasi resmi bertanggal yang menunjukkan mekanisme dikirim. Ketersediaan kode open source saja = prototype_open_source (bukan L3).</t>
        </is>
      </c>
    </row>
    <row r="23" ht="15" customHeight="1" s="21">
      <c r="A23" s="1" t="inlineStr">
        <is>
          <t>L3</t>
        </is>
      </c>
      <c r="B23" s="2" t="inlineStr">
        <is>
          <t>Dilaporkan TERPISAH dari L0-L2 di Section 6 (rujuk Tabel 15). Jangan dihitung sebagai persentase literatur.</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10"/>
  <sheetViews>
    <sheetView zoomScaleNormal="100" workbookViewId="0">
      <selection activeCell="A1" sqref="A1"/>
    </sheetView>
  </sheetViews>
  <sheetFormatPr baseColWidth="8" defaultColWidth="8.6328125" defaultRowHeight="14.5"/>
  <cols>
    <col width="26" customWidth="1" style="21" min="1" max="9"/>
  </cols>
  <sheetData>
    <row r="1" ht="15" customHeight="1" s="21">
      <c r="A1" s="16" t="inlineStr">
        <is>
          <t>peran</t>
        </is>
      </c>
      <c r="B1" s="16" t="inlineStr">
        <is>
          <t>paradigma</t>
        </is>
      </c>
      <c r="C1" s="16" t="inlineStr">
        <is>
          <t>llm_dlm_keputusan</t>
        </is>
      </c>
      <c r="D1" s="16" t="inlineStr">
        <is>
          <t>titik_penegakan</t>
        </is>
      </c>
      <c r="E1" s="16" t="inlineStr">
        <is>
          <t>jenis_evaluasi</t>
        </is>
      </c>
      <c r="F1" s="16" t="inlineStr">
        <is>
          <t>asal_set_serangan</t>
        </is>
      </c>
      <c r="G1" s="16" t="inlineStr">
        <is>
          <t>adaptif</t>
        </is>
      </c>
      <c r="H1" s="16" t="inlineStr">
        <is>
          <t>deployment</t>
        </is>
      </c>
      <c r="I1" s="16" t="inlineStr">
        <is>
          <t>teks_lengkap</t>
        </is>
      </c>
      <c r="K1" s="20" t="inlineStr">
        <is>
          <t>Daftar ini dipakai dropdown di sheet Koding. Jangan ubah urutan atau ejaan.</t>
        </is>
      </c>
    </row>
    <row r="2" ht="15" customHeight="1" s="21">
      <c r="A2" s="20" t="inlineStr">
        <is>
          <t>defense_primary</t>
        </is>
      </c>
      <c r="B2" s="20" t="inlineStr">
        <is>
          <t>content_inspection_static</t>
        </is>
      </c>
      <c r="C2" s="20" t="inlineStr">
        <is>
          <t>ya</t>
        </is>
      </c>
      <c r="D2" s="20" t="inlineStr">
        <is>
          <t>H</t>
        </is>
      </c>
      <c r="E2" s="20" t="inlineStr">
        <is>
          <t>none</t>
        </is>
      </c>
      <c r="F2" s="20" t="inlineStr">
        <is>
          <t>authors_own</t>
        </is>
      </c>
      <c r="G2" s="20" t="inlineStr">
        <is>
          <t>ya</t>
        </is>
      </c>
      <c r="H2" s="20" t="inlineStr">
        <is>
          <t>none</t>
        </is>
      </c>
      <c r="I2" s="20" t="inlineStr">
        <is>
          <t>ya</t>
        </is>
      </c>
    </row>
    <row r="3" ht="15" customHeight="1" s="21">
      <c r="A3" s="20" t="inlineStr">
        <is>
          <t>defense_secondary</t>
        </is>
      </c>
      <c r="B3" s="20" t="inlineStr">
        <is>
          <t>content_inspection_runtime</t>
        </is>
      </c>
      <c r="C3" s="20" t="inlineStr">
        <is>
          <t>tidak</t>
        </is>
      </c>
      <c r="D3" s="20" t="inlineStr">
        <is>
          <t>C</t>
        </is>
      </c>
      <c r="E3" s="20" t="inlineStr">
        <is>
          <t>author_run</t>
        </is>
      </c>
      <c r="F3" s="20" t="inlineStr">
        <is>
          <t>third_party_public</t>
        </is>
      </c>
      <c r="G3" s="20" t="inlineStr">
        <is>
          <t>tidak</t>
        </is>
      </c>
      <c r="H3" s="20" t="inlineStr">
        <is>
          <t>prototype_open_source</t>
        </is>
      </c>
      <c r="I3" s="20" t="inlineStr">
        <is>
          <t>tidak</t>
        </is>
      </c>
    </row>
    <row r="4" ht="15" customHeight="1" s="21">
      <c r="A4" s="20" t="inlineStr">
        <is>
          <t>proposal_only</t>
        </is>
      </c>
      <c r="B4" s="20" t="inlineStr">
        <is>
          <t>human_approval</t>
        </is>
      </c>
      <c r="C4" s="20" t="inlineStr">
        <is>
          <t>tidak_jelas</t>
        </is>
      </c>
      <c r="D4" s="20" t="inlineStr">
        <is>
          <t>S</t>
        </is>
      </c>
      <c r="E4" s="20" t="inlineStr">
        <is>
          <t>author_run+independent</t>
        </is>
      </c>
      <c r="F4" s="20" t="inlineStr">
        <is>
          <t>mixed</t>
        </is>
      </c>
      <c r="G4" s="20" t="inlineStr">
        <is>
          <t>tidak_jelas</t>
        </is>
      </c>
      <c r="H4" s="20" t="inlineStr">
        <is>
          <t>produksi_bukti_publik</t>
        </is>
      </c>
    </row>
    <row r="5" ht="15" customHeight="1" s="21">
      <c r="A5" s="20" t="inlineStr">
        <is>
          <t>attack</t>
        </is>
      </c>
      <c r="B5" s="20" t="inlineStr">
        <is>
          <t>isolation_containment</t>
        </is>
      </c>
      <c r="D5" s="20" t="inlineStr">
        <is>
          <t>gateway_proxy</t>
        </is>
      </c>
      <c r="E5" s="20" t="inlineStr">
        <is>
          <t>independent_only</t>
        </is>
      </c>
      <c r="F5" s="20" t="inlineStr">
        <is>
          <t>none</t>
        </is>
      </c>
      <c r="G5" s="20" t="inlineStr">
        <is>
          <t>n/a_tanpa_evaluasi</t>
        </is>
      </c>
      <c r="H5" s="20" t="inlineStr">
        <is>
          <t>spec_normatif</t>
        </is>
      </c>
    </row>
    <row r="6" ht="15" customHeight="1" s="21">
      <c r="A6" s="20" t="inlineStr">
        <is>
          <t>survey_review</t>
        </is>
      </c>
      <c r="B6" s="20" t="inlineStr">
        <is>
          <t>deterministic_policy</t>
        </is>
      </c>
      <c r="D6" s="20" t="inlineStr">
        <is>
          <t>registry</t>
        </is>
      </c>
      <c r="E6" s="20" t="inlineStr">
        <is>
          <t>deployment_measurement</t>
        </is>
      </c>
    </row>
    <row r="7" ht="15" customHeight="1" s="21">
      <c r="A7" s="20" t="inlineStr">
        <is>
          <t>benchmark_measurement</t>
        </is>
      </c>
      <c r="B7" s="20" t="inlineStr">
        <is>
          <t>capability_or_token</t>
        </is>
      </c>
      <c r="D7" s="20" t="inlineStr">
        <is>
          <t>Theta</t>
        </is>
      </c>
    </row>
    <row r="8" ht="15" customHeight="1" s="21">
      <c r="A8" s="20" t="inlineStr">
        <is>
          <t>position_other</t>
        </is>
      </c>
      <c r="B8" s="20" t="inlineStr">
        <is>
          <t>integrity_provenance</t>
        </is>
      </c>
      <c r="D8" s="20" t="inlineStr">
        <is>
          <t>X</t>
        </is>
      </c>
    </row>
    <row r="9" ht="15" customHeight="1" s="21">
      <c r="A9" s="20" t="inlineStr">
        <is>
          <t>not_defense</t>
        </is>
      </c>
      <c r="B9" s="20" t="inlineStr">
        <is>
          <t>protocol_provision</t>
        </is>
      </c>
      <c r="D9" s="20" t="inlineStr">
        <is>
          <t>offline_analysis</t>
        </is>
      </c>
    </row>
    <row r="10" ht="15" customHeight="1" s="21">
      <c r="B10" s="20" t="inlineStr">
        <is>
          <t>lainnya</t>
        </is>
      </c>
      <c r="D10" s="20" t="inlineStr">
        <is>
          <t>lainnya</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E149"/>
  <sheetViews>
    <sheetView zoomScaleNormal="100" workbookViewId="0">
      <selection activeCell="A1" sqref="A1"/>
    </sheetView>
  </sheetViews>
  <sheetFormatPr baseColWidth="8" defaultColWidth="8.6328125" defaultRowHeight="14.5"/>
  <sheetData>
    <row r="1" ht="79.5" customHeight="1" s="21">
      <c r="A1" s="6" t="inlineStr">
        <is>
          <t>record_id</t>
        </is>
      </c>
      <c r="B1" s="6" t="inlineStr">
        <is>
          <t>judul</t>
        </is>
      </c>
      <c r="C1" s="6" t="inlineStr">
        <is>
          <t>tahun</t>
        </is>
      </c>
      <c r="D1" s="6" t="inlineStr">
        <is>
          <t>tier</t>
        </is>
      </c>
      <c r="E1" s="6" t="inlineStr">
        <is>
          <t>triase</t>
        </is>
      </c>
      <c r="F1" s="6" t="inlineStr">
        <is>
          <t>agent_role (referensi)</t>
        </is>
      </c>
      <c r="G1" s="6" t="inlineStr">
        <is>
          <t>tautan</t>
        </is>
      </c>
      <c r="H1" s="6" t="inlineStr">
        <is>
          <t>teks_lengkap_tersedia</t>
        </is>
      </c>
      <c r="I1" s="6" t="inlineStr">
        <is>
          <t>peran</t>
        </is>
      </c>
      <c r="J1" s="6" t="inlineStr">
        <is>
          <t>nama_pertahanan</t>
        </is>
      </c>
      <c r="K1" s="6" t="inlineStr">
        <is>
          <t>paradigma</t>
        </is>
      </c>
      <c r="L1" s="6" t="inlineStr">
        <is>
          <t>ringkasan_mekanisme (kata sendiri, maks 2 kalimat)</t>
        </is>
      </c>
      <c r="M1" s="6" t="inlineStr">
        <is>
          <t>llm_dlm_keputusan</t>
        </is>
      </c>
      <c r="N1" s="6" t="inlineStr">
        <is>
          <t>titik_penegakan</t>
        </is>
      </c>
      <c r="O1" s="6" t="inlineStr">
        <is>
          <t>crossings (R1-R7, pisah ;)</t>
        </is>
      </c>
      <c r="P1" s="6" t="inlineStr">
        <is>
          <t>kelas_diklaim (A1-D3, pisah ;)</t>
        </is>
      </c>
      <c r="Q1" s="6" t="inlineStr">
        <is>
          <t>kelas_dievaluasi (hanya yang ada eksperimen)</t>
        </is>
      </c>
      <c r="R1" s="6" t="inlineStr">
        <is>
          <t>jenis_evaluasi</t>
        </is>
      </c>
      <c r="S1" s="6" t="inlineStr">
        <is>
          <t>evaluator_independen (record_id)</t>
        </is>
      </c>
      <c r="T1" s="6" t="inlineStr">
        <is>
          <t>asal_set_serangan</t>
        </is>
      </c>
      <c r="U1" s="6" t="inlineStr">
        <is>
          <t>adaptif</t>
        </is>
      </c>
      <c r="V1" s="6" t="inlineStr">
        <is>
          <t>kutipan_adaptif (maks 25 kata)</t>
        </is>
      </c>
      <c r="W1" s="6" t="inlineStr">
        <is>
          <t>lokasi_bukti (bagian/tabel/hal.)</t>
        </is>
      </c>
      <c r="X1" s="6" t="inlineStr">
        <is>
          <t>deployment</t>
        </is>
      </c>
      <c r="Y1" s="6" t="inlineStr">
        <is>
          <t>biaya_utilitas</t>
        </is>
      </c>
      <c r="Z1" s="6" t="inlineStr">
        <is>
          <t>catatan</t>
        </is>
      </c>
      <c r="AA1" s="6" t="inlineStr">
        <is>
          <t>maturitas (otomatis)</t>
        </is>
      </c>
      <c r="AB1" s="6" t="inlineStr">
        <is>
          <t>cek_konsistensi (otomatis)</t>
        </is>
      </c>
      <c r="AC1" s="7" t="inlineStr">
        <is>
          <t>korpus_v5</t>
        </is>
      </c>
      <c r="AD1" s="7" t="inlineStr">
        <is>
          <t>kode_eksklusi_v5</t>
        </is>
      </c>
      <c r="AE1" s="7" t="inlineStr">
        <is>
          <t>catatan_audit_v5</t>
        </is>
      </c>
    </row>
    <row r="2" ht="157.5" customHeight="1" s="21">
      <c r="A2" s="8" t="inlineStr">
        <is>
          <t>aditi-2025-model-context-protocol-vision-systems</t>
        </is>
      </c>
      <c r="B2" s="8" t="inlineStr">
        <is>
          <t>Model Context Protocol for Vision Systems: Audit, Security, and Protocol Extensions</t>
        </is>
      </c>
      <c r="C2" s="8" t="n">
        <v>2025</v>
      </c>
      <c r="D2" s="8" t="inlineStr">
        <is>
          <t>E2</t>
        </is>
      </c>
      <c r="E2" s="8" t="inlineStr">
        <is>
          <t>kandidat_agent</t>
        </is>
      </c>
      <c r="F2" s="8" t="inlineStr">
        <is>
          <t>primary</t>
        </is>
      </c>
      <c r="G2" s="9" t="inlineStr">
        <is>
          <t>https://arxiv.org/abs/2509.22814</t>
        </is>
      </c>
      <c r="H2" s="10" t="inlineStr">
        <is>
          <t>ya</t>
        </is>
      </c>
      <c r="I2" s="10" t="inlineStr">
        <is>
          <t>proposal_only</t>
        </is>
      </c>
      <c r="J2" s="10" t="inlineStr">
        <is>
          <t>unnamed:vision-protocol-extensions</t>
        </is>
      </c>
      <c r="K2" s="10" t="inlineStr">
        <is>
          <t>protocol_provision</t>
        </is>
      </c>
      <c r="L2" s="10" t="inlineStr">
        <is>
          <t>Usulan ekstensi skema semantik MCP dan validator prototipe untuk membatasi aksi visi di testbed terkontrol.</t>
        </is>
      </c>
      <c r="M2" s="10" t="inlineStr">
        <is>
          <t>tidak</t>
        </is>
      </c>
      <c r="N2" s="10" t="inlineStr">
        <is>
          <t>registry</t>
        </is>
      </c>
      <c r="O2" s="10" t="inlineStr">
        <is>
          <t>R2;R5</t>
        </is>
      </c>
      <c r="P2" s="10" t="inlineStr">
        <is>
          <t>A3;B3;C5</t>
        </is>
      </c>
      <c r="Q2" s="10" t="n"/>
      <c r="R2" s="10" t="inlineStr">
        <is>
          <t>none</t>
        </is>
      </c>
      <c r="S2" s="10" t="n"/>
      <c r="T2" s="10" t="inlineStr">
        <is>
          <t>none</t>
        </is>
      </c>
      <c r="U2" s="10" t="inlineStr">
        <is>
          <t>n/a_tanpa_evaluasi</t>
        </is>
      </c>
      <c r="V2" s="10" t="n"/>
      <c r="W2" s="10" t="n"/>
      <c r="X2" s="10" t="inlineStr">
        <is>
          <t>none</t>
        </is>
      </c>
      <c r="Y2" s="10" t="inlineStr">
        <is>
          <t>not_reported</t>
        </is>
      </c>
      <c r="Z2" s="10" t="inlineStr">
        <is>
          <t>Proposal ekstensi protokol MCP dengan skema semantik dan validator prototipe tanpa evaluasi terhadap serangan. Catatan deployment: prototipe internal/eksperimental (belum dirilis secara publik).</t>
        </is>
      </c>
      <c r="AA2" s="11">
        <f>IF(I2="","",IF(OR(I2="attack",I2="survey_review",I2="benchmark_measurement",I2="position_other",I2="not_defense"),"n/a",IF(OR(X2="spec_normatif",X2="produksi_bukti_publik"),"L3",IF(ISNUMBER(SEARCH("independent",R2)),"L2",IF(R2="author_run","L1",IF(R2="none","L0",""))))))</f>
        <v/>
      </c>
      <c r="AB2" s="11">
        <f>IF(I2="","",IF(AND(K2="deterministic_policy",M2="ya"),"PERIKSA: deterministic_policy tetapi LLM/ML ada dalam keputusan. ","")&amp;IF(AND(U2="ya",V2=""),"PERIKSA: adaptif=ya wajib ada kutipan. ","")&amp;IF(AND(R2="none",U2&lt;&gt;"n/a_tanpa_evaluasi",U2&lt;&gt;""),"PERIKSA: tanpa evaluasi, adaptif harus n/a. ","")&amp;IF(AND(OR(R2="author_run",R2="author_run+independent",R2="independent_only"),Q2=""),"PERIKSA: isi kelas_dievaluasi. ","")&amp;IF(AND(OR(R2="author_run",R2="author_run+independent",R2="independent_only"),W2=""),"PERIKSA: isi lokasi_bukti. ","")&amp;IF(AND(H2="tidak",R2&lt;&gt;""),"PERIKSA: tanpa teks lengkap, kosongkan kolom evaluasi. ",""))</f>
        <v/>
      </c>
      <c r="AC2" t="inlineStr">
        <is>
          <t>include</t>
        </is>
      </c>
    </row>
    <row r="3" ht="213.75" customHeight="1" s="21">
      <c r="A3" s="8" t="inlineStr">
        <is>
          <t>alfonso-2026-mcp-seclint-open-source-static</t>
        </is>
      </c>
      <c r="B3" s="8" t="inlineStr">
        <is>
          <t>MCP-SecLint: An Open-Source Static Analyzer for Detecting Vulnerabilities in LLM Tool Integrations</t>
        </is>
      </c>
      <c r="C3" s="8" t="n">
        <v>2026</v>
      </c>
      <c r="D3" s="8" t="inlineStr">
        <is>
          <t>E1</t>
        </is>
      </c>
      <c r="E3" s="8" t="inlineStr">
        <is>
          <t>kandidat_agent</t>
        </is>
      </c>
      <c r="F3" s="8" t="inlineStr">
        <is>
          <t>primary</t>
        </is>
      </c>
      <c r="G3" s="9" t="inlineStr">
        <is>
          <t>https://doi.org/10.1145/3806007.3810961</t>
        </is>
      </c>
      <c r="H3" s="10" t="inlineStr">
        <is>
          <t>ya</t>
        </is>
      </c>
      <c r="I3" s="10" t="inlineStr">
        <is>
          <t>defense_primary</t>
        </is>
      </c>
      <c r="J3" s="10" t="inlineStr">
        <is>
          <t>MCP-SecLint</t>
        </is>
      </c>
      <c r="K3" s="10" t="inlineStr">
        <is>
          <t>content_inspection_static</t>
        </is>
      </c>
      <c r="L3" s="10" t="inlineStr">
        <is>
          <t>Penganalisis statis offline kode server MCP untuk mendeteksi eksekusi perintah berbahaya, token passthrough, dan endpoint tanpa autentikasi.</t>
        </is>
      </c>
      <c r="M3" s="10" t="inlineStr">
        <is>
          <t>tidak</t>
        </is>
      </c>
      <c r="N3" s="10" t="inlineStr">
        <is>
          <t>offline_analysis</t>
        </is>
      </c>
      <c r="O3" s="10" t="inlineStr">
        <is>
          <t>R4;R5</t>
        </is>
      </c>
      <c r="P3" s="10" t="inlineStr">
        <is>
          <t>C5;C3</t>
        </is>
      </c>
      <c r="Q3" s="10" t="inlineStr">
        <is>
          <t>C5;C3</t>
        </is>
      </c>
      <c r="R3" s="10" t="inlineStr">
        <is>
          <t>author_run</t>
        </is>
      </c>
      <c r="S3" s="10" t="n"/>
      <c r="T3" s="10" t="inlineStr">
        <is>
          <t>third_party_public</t>
        </is>
      </c>
      <c r="U3" s="10" t="inlineStr">
        <is>
          <t>tidak</t>
        </is>
      </c>
      <c r="V3" s="10" t="n"/>
      <c r="W3" s="10" t="inlineStr">
        <is>
          <t>Abstract / hal. 1</t>
        </is>
      </c>
      <c r="X3" s="10" t="inlineStr">
        <is>
          <t>none</t>
        </is>
      </c>
      <c r="Y3" s="10" t="inlineStr">
        <is>
          <t>not_reported</t>
        </is>
      </c>
      <c r="Z3" s="10" t="inlineStr">
        <is>
          <t>Penganalisis statis MCP-SecLint untuk mendeteksi dangerous sinks (C5) dan unauthenticated endpoints (C3) pada implementasi server MCP. Klaim C1 dicabut karena analisis statis kode server tidak menangani confused deputy planner. Catatan deployment: prototipe internal/eksperimental (belum dirilis secara publik).</t>
        </is>
      </c>
      <c r="AA3" s="11">
        <f>IF(I3="","",IF(OR(I3="attack",I3="survey_review",I3="benchmark_measurement",I3="position_other",I3="not_defense"),"n/a",IF(OR(X3="spec_normatif",X3="produksi_bukti_publik"),"L3",IF(ISNUMBER(SEARCH("independent",R3)),"L2",IF(R3="author_run","L1",IF(R3="none","L0",""))))))</f>
        <v/>
      </c>
      <c r="AB3" s="11">
        <f>IF(I3="","",IF(AND(K3="deterministic_policy",M3="ya"),"PERIKSA: deterministic_policy tetapi LLM/ML ada dalam keputusan. ","")&amp;IF(AND(U3="ya",V3=""),"PERIKSA: adaptif=ya wajib ada kutipan. ","")&amp;IF(AND(R3="none",U3&lt;&gt;"n/a_tanpa_evaluasi",U3&lt;&gt;""),"PERIKSA: tanpa evaluasi, adaptif harus n/a. ","")&amp;IF(AND(OR(R3="author_run",R3="author_run+independent",R3="independent_only"),Q3=""),"PERIKSA: isi kelas_dievaluasi. ","")&amp;IF(AND(OR(R3="author_run",R3="author_run+independent",R3="independent_only"),W3=""),"PERIKSA: isi lokasi_bukti. ","")&amp;IF(AND(H3="tidak",R3&lt;&gt;""),"PERIKSA: tanpa teks lengkap, kosongkan kolom evaluasi. ",""))</f>
        <v/>
      </c>
      <c r="AC3" t="inlineStr">
        <is>
          <t>include</t>
        </is>
      </c>
    </row>
    <row r="4" ht="225" customHeight="1" s="21">
      <c r="A4" s="8" t="inlineStr">
        <is>
          <t>alfredo-2026-attested-tool-server-admission-security</t>
        </is>
      </c>
      <c r="B4" s="8" t="inlineStr">
        <is>
          <t>Attested Tool-Server Admission: A Security Extension to the Model Context Protocol</t>
        </is>
      </c>
      <c r="C4" s="8" t="n">
        <v>2026</v>
      </c>
      <c r="D4" s="8" t="inlineStr">
        <is>
          <t>E2</t>
        </is>
      </c>
      <c r="E4" s="8" t="inlineStr">
        <is>
          <t>kandidat_agent</t>
        </is>
      </c>
      <c r="F4" s="8" t="inlineStr">
        <is>
          <t>primary</t>
        </is>
      </c>
      <c r="G4" s="9" t="inlineStr">
        <is>
          <t>https://arxiv.org/abs/2605.24248</t>
        </is>
      </c>
      <c r="H4" s="10" t="inlineStr">
        <is>
          <t>ya</t>
        </is>
      </c>
      <c r="I4" s="10" t="inlineStr">
        <is>
          <t>defense_primary</t>
        </is>
      </c>
      <c r="J4" s="10" t="inlineStr">
        <is>
          <t>mcp-attested</t>
        </is>
      </c>
      <c r="K4" s="10" t="inlineStr">
        <is>
          <t>integrity_provenance</t>
        </is>
      </c>
      <c r="L4" s="10" t="inlineStr">
        <is>
          <t>Mekanisme admisi server teratestasi kriptografis Ed25519 dengan validasi clearance assertion terhadap root trust pinned dan allowlist deny-by-default.</t>
        </is>
      </c>
      <c r="M4" s="10" t="inlineStr">
        <is>
          <t>tidak</t>
        </is>
      </c>
      <c r="N4" s="10" t="inlineStr">
        <is>
          <t>registry</t>
        </is>
      </c>
      <c r="O4" s="10" t="inlineStr">
        <is>
          <t>R7</t>
        </is>
      </c>
      <c r="P4" s="10" t="inlineStr">
        <is>
          <t>B1;B2</t>
        </is>
      </c>
      <c r="Q4" s="10" t="inlineStr">
        <is>
          <t>B1;B2</t>
        </is>
      </c>
      <c r="R4" s="10" t="inlineStr">
        <is>
          <t>author_run</t>
        </is>
      </c>
      <c r="S4" s="10" t="n"/>
      <c r="T4" s="10" t="inlineStr">
        <is>
          <t>authors_own</t>
        </is>
      </c>
      <c r="U4" s="10" t="inlineStr">
        <is>
          <t>tidak</t>
        </is>
      </c>
      <c r="V4" s="10" t="n"/>
      <c r="W4" s="10" t="inlineStr">
        <is>
          <t>Sec 7.1; Sec 7.2; Tabel hal. 12</t>
        </is>
      </c>
      <c r="X4" s="10" t="inlineStr">
        <is>
          <t>none</t>
        </is>
      </c>
      <c r="Y4" s="10" t="inlineStr">
        <is>
          <t>not_reported</t>
        </is>
      </c>
      <c r="Z4" s="10" t="inlineStr">
        <is>
          <t>Mekanisme admisi server teratestasi Ed25519 mcp-attested dengan allowlist deny-by-default, diuji pada 48 kasus tes hermetik &amp; adversarial. Catatan deployment: prototipe internal/eksperimental (belum dirilis secara publik).</t>
        </is>
      </c>
      <c r="AA4" s="11">
        <f>IF(I4="","",IF(OR(I4="attack",I4="survey_review",I4="benchmark_measurement",I4="position_other",I4="not_defense"),"n/a",IF(OR(X4="spec_normatif",X4="produksi_bukti_publik"),"L3",IF(ISNUMBER(SEARCH("independent",R4)),"L2",IF(R4="author_run","L1",IF(R4="none","L0",""))))))</f>
        <v/>
      </c>
      <c r="AB4" s="11">
        <f>IF(I4="","",IF(AND(K4="deterministic_policy",M4="ya"),"PERIKSA: deterministic_policy tetapi LLM/ML ada dalam keputusan. ","")&amp;IF(AND(U4="ya",V4=""),"PERIKSA: adaptif=ya wajib ada kutipan. ","")&amp;IF(AND(R4="none",U4&lt;&gt;"n/a_tanpa_evaluasi",U4&lt;&gt;""),"PERIKSA: tanpa evaluasi, adaptif harus n/a. ","")&amp;IF(AND(OR(R4="author_run",R4="author_run+independent",R4="independent_only"),Q4=""),"PERIKSA: isi kelas_dievaluasi. ","")&amp;IF(AND(OR(R4="author_run",R4="author_run+independent",R4="independent_only"),W4=""),"PERIKSA: isi lokasi_bukti. ","")&amp;IF(AND(H4="tidak",R4&lt;&gt;""),"PERIKSA: tanpa teks lengkap, kosongkan kolom evaluasi. ",""))</f>
        <v/>
      </c>
      <c r="AC4" t="inlineStr">
        <is>
          <t>include</t>
        </is>
      </c>
    </row>
    <row r="5" ht="281.25" customHeight="1" s="21">
      <c r="A5" s="8" t="inlineStr">
        <is>
          <t>anthropic-2024-model-context-protocol-specification-architecture</t>
        </is>
      </c>
      <c r="B5" s="8" t="inlineStr">
        <is>
          <t>Model Context Protocol Specification (Architecture &amp; Security)</t>
        </is>
      </c>
      <c r="C5" s="8" t="n">
        <v>2024</v>
      </c>
      <c r="D5" s="8" t="inlineStr">
        <is>
          <t>E3</t>
        </is>
      </c>
      <c r="E5" s="8" t="inlineStr">
        <is>
          <t>kandidat_agent</t>
        </is>
      </c>
      <c r="F5" s="8" t="inlineStr">
        <is>
          <t>primary</t>
        </is>
      </c>
      <c r="G5" s="8" t="n"/>
      <c r="H5" s="10" t="inlineStr">
        <is>
          <t>ya</t>
        </is>
      </c>
      <c r="I5" s="10" t="inlineStr">
        <is>
          <t>position_other</t>
        </is>
      </c>
      <c r="J5" s="10" t="n"/>
      <c r="K5" s="10" t="n"/>
      <c r="L5" s="10" t="n"/>
      <c r="M5" s="10" t="n"/>
      <c r="N5" s="10" t="n"/>
      <c r="O5" s="10" t="n"/>
      <c r="P5" s="10" t="n"/>
      <c r="Q5" s="10" t="n"/>
      <c r="R5" s="10" t="n"/>
      <c r="S5" s="10" t="n"/>
      <c r="T5" s="10" t="n"/>
      <c r="U5" s="10" t="n"/>
      <c r="V5" s="10" t="n"/>
      <c r="W5" s="10" t="n"/>
      <c r="X5" s="10" t="n"/>
      <c r="Y5" s="10" t="n"/>
      <c r="Z5" s="10" t="inlineStr">
        <is>
          <t>Spesifikasi arsitektural protokol MCP resmi Anthropic (revisi 2024-11-05). Ketentuan normatif dilaporkan di Section 5 (Tabel 14-15), bukan sebagai L3 pertahanan literatur.</t>
        </is>
      </c>
      <c r="AA5" s="11">
        <f>IF(I5="","",IF(OR(I5="attack",I5="survey_review",I5="benchmark_measurement",I5="position_other",I5="not_defense"),"n/a",IF(OR(X5="spec_normatif",X5="produksi_bukti_publik"),"L3",IF(ISNUMBER(SEARCH("independent",R5)),"L2",IF(R5="author_run","L1",IF(R5="none","L0",""))))))</f>
        <v/>
      </c>
      <c r="AB5" s="11">
        <f>IF(I5="","",IF(AND(K5="deterministic_policy",M5="ya"),"PERIKSA: deterministic_policy tetapi LLM/ML ada dalam keputusan. ","")&amp;IF(AND(U5="ya",V5=""),"PERIKSA: adaptif=ya wajib ada kutipan. ","")&amp;IF(AND(R5="none",U5&lt;&gt;"n/a_tanpa_evaluasi",U5&lt;&gt;""),"PERIKSA: tanpa evaluasi, adaptif harus n/a. ","")&amp;IF(AND(OR(R5="author_run",R5="author_run+independent",R5="independent_only"),Q5=""),"PERIKSA: isi kelas_dievaluasi. ","")&amp;IF(AND(OR(R5="author_run",R5="author_run+independent",R5="independent_only"),W5=""),"PERIKSA: isi lokasi_bukti. ","")&amp;IF(AND(H5="tidak",R5&lt;&gt;""),"PERIKSA: tanpa teks lengkap, kosongkan kolom evaluasi. ",""))</f>
        <v/>
      </c>
      <c r="AC5" t="inlineStr">
        <is>
          <t>include</t>
        </is>
      </c>
    </row>
    <row r="6" ht="314.25" customHeight="1" s="21">
      <c r="A6" s="8" t="inlineStr">
        <is>
          <t>baichao-2026-flowguard-signals-evidence-mcp-security</t>
        </is>
      </c>
      <c r="B6" s="8" t="inlineStr">
        <is>
          <t>FlowGuard: From Signals to Evidence for MCP Security Detection</t>
        </is>
      </c>
      <c r="C6" s="8" t="n">
        <v>2026</v>
      </c>
      <c r="D6" s="8" t="inlineStr">
        <is>
          <t>E2</t>
        </is>
      </c>
      <c r="E6" s="8" t="inlineStr">
        <is>
          <t>kandidat_agent</t>
        </is>
      </c>
      <c r="F6" s="8" t="inlineStr">
        <is>
          <t>primary</t>
        </is>
      </c>
      <c r="G6" s="9" t="inlineStr">
        <is>
          <t>https://arxiv.org/abs/2607.14754</t>
        </is>
      </c>
      <c r="H6" s="10" t="inlineStr">
        <is>
          <t>ya</t>
        </is>
      </c>
      <c r="I6" s="10" t="inlineStr">
        <is>
          <t>defense_primary</t>
        </is>
      </c>
      <c r="J6" s="10" t="inlineStr">
        <is>
          <t>FlowGuard</t>
        </is>
      </c>
      <c r="K6" s="10" t="inlineStr">
        <is>
          <t>content_inspection_runtime</t>
        </is>
      </c>
      <c r="L6" s="10" t="inlineStr">
        <is>
          <t>Sistem pemindai keamanan MCP aktif berbasis probing bertahap (recon &amp; strike) yang memverifikasi bukti runtime pada pemanggilan tool dan menganalisis risiko semantik metadata menggunakan LLM bounded.</t>
        </is>
      </c>
      <c r="M6" s="10" t="inlineStr">
        <is>
          <t>ya</t>
        </is>
      </c>
      <c r="N6" s="10" t="inlineStr">
        <is>
          <t>H</t>
        </is>
      </c>
      <c r="O6" s="10" t="inlineStr">
        <is>
          <t>R2;R4;R5</t>
        </is>
      </c>
      <c r="P6" s="10" t="inlineStr">
        <is>
          <t>A1;A2;C3;C5</t>
        </is>
      </c>
      <c r="Q6" s="10" t="inlineStr">
        <is>
          <t>A1;A2;C3;C5</t>
        </is>
      </c>
      <c r="R6" s="10" t="inlineStr">
        <is>
          <t>author_run</t>
        </is>
      </c>
      <c r="S6" s="10" t="n"/>
      <c r="T6" s="10" t="inlineStr">
        <is>
          <t>authors_own</t>
        </is>
      </c>
      <c r="U6" s="10" t="inlineStr">
        <is>
          <t>tidak</t>
        </is>
      </c>
      <c r="V6" s="10" t="n"/>
      <c r="W6" s="10" t="inlineStr">
        <is>
          <t>Sec V; Table II; Table IV; hal. 7-10</t>
        </is>
      </c>
      <c r="X6" s="10" t="inlineStr">
        <is>
          <t>none</t>
        </is>
      </c>
      <c r="Y6" s="10" t="inlineStr">
        <is>
          <t>latensi dilaporkan (reduksi 2.23x, Tabel IV)</t>
        </is>
      </c>
      <c r="Z6" s="10" t="inlineStr">
        <is>
          <t>Pemindai keamanan MCP dua fase (reconnaissance &amp; targeted strike) dengan adjudikasi bukti berbasis Qwen3-235B. Diuji pada 1.880 kasus benchmark buatan penulis dan 8.000 server MCPZoo; ancaman adaptif eksplisit di luar cakupan. Catatan deployment: prototipe internal/eksperimental (belum dirilis secara publik).</t>
        </is>
      </c>
      <c r="AA6" s="11">
        <f>IF(I6="","",IF(OR(I6="attack",I6="survey_review",I6="benchmark_measurement",I6="position_other",I6="not_defense"),"n/a",IF(OR(X6="spec_normatif",X6="produksi_bukti_publik"),"L3",IF(ISNUMBER(SEARCH("independent",R6)),"L2",IF(R6="author_run","L1",IF(R6="none","L0",""))))))</f>
        <v/>
      </c>
      <c r="AB6" s="11">
        <f>IF(I6="","",IF(AND(K6="deterministic_policy",M6="ya"),"PERIKSA: deterministic_policy tetapi LLM/ML ada dalam keputusan. ","")&amp;IF(AND(U6="ya",V6=""),"PERIKSA: adaptif=ya wajib ada kutipan. ","")&amp;IF(AND(R6="none",U6&lt;&gt;"n/a_tanpa_evaluasi",U6&lt;&gt;""),"PERIKSA: tanpa evaluasi, adaptif harus n/a. ","")&amp;IF(AND(OR(R6="author_run",R6="author_run+independent",R6="independent_only"),Q6=""),"PERIKSA: isi kelas_dievaluasi. ","")&amp;IF(AND(OR(R6="author_run",R6="author_run+independent",R6="independent_only"),W6=""),"PERIKSA: isi lokasi_bukti. ","")&amp;IF(AND(H6="tidak",R6&lt;&gt;""),"PERIKSA: tanpa teks lengkap, kosongkan kolom evaluasi. ",""))</f>
        <v/>
      </c>
      <c r="AC6" t="inlineStr">
        <is>
          <t>include</t>
        </is>
      </c>
    </row>
    <row r="7" ht="409.6" customHeight="1" s="21">
      <c r="A7" s="8" t="inlineStr">
        <is>
          <t>bin-2025-mcpguard-automatically-detecting-vulnerabilities-mcp</t>
        </is>
      </c>
      <c r="B7" s="8" t="inlineStr">
        <is>
          <t>MCPGuard : Automatically Detecting Vulnerabilities in MCP Servers</t>
        </is>
      </c>
      <c r="C7" s="8" t="n">
        <v>2025</v>
      </c>
      <c r="D7" s="8" t="inlineStr">
        <is>
          <t>E2</t>
        </is>
      </c>
      <c r="E7" s="8" t="inlineStr">
        <is>
          <t>kandidat_agent</t>
        </is>
      </c>
      <c r="F7" s="8" t="inlineStr">
        <is>
          <t>primary</t>
        </is>
      </c>
      <c r="G7" s="9" t="inlineStr">
        <is>
          <t>https://arxiv.org/abs/2510.23673</t>
        </is>
      </c>
      <c r="H7" s="10" t="inlineStr">
        <is>
          <t>ya</t>
        </is>
      </c>
      <c r="I7" s="10" t="inlineStr">
        <is>
          <t>survey_review</t>
        </is>
      </c>
      <c r="J7" s="10" t="n"/>
      <c r="K7" s="10" t="n"/>
      <c r="L7" s="10" t="n"/>
      <c r="M7" s="10" t="n"/>
      <c r="N7" s="10" t="n"/>
      <c r="O7" s="10" t="n"/>
      <c r="P7" s="10" t="n"/>
      <c r="Q7" s="10" t="n"/>
      <c r="R7" s="10" t="n"/>
      <c r="S7" s="10" t="n"/>
      <c r="T7" s="10" t="n"/>
      <c r="U7" s="10" t="n"/>
      <c r="V7" s="10" t="n"/>
      <c r="W7" s="10" t="n"/>
      <c r="X7" s="10" t="n"/>
      <c r="Y7" s="10" t="n"/>
      <c r="Z7" s="10" t="inlineStr">
        <is>
          <t>Makalah survei/lanskap keamanan MCP dan tinjauan taksonomis komprehensif atas pertahanan yang ada (server-side scanning &amp; runtime monitoring) tanpa evaluasi atau implementasi mekanisme baru oleh penulis. KODER 1 keliru menganggap judul 'MCPGuard' sebagai defense_primary.</t>
        </is>
      </c>
      <c r="AA7" s="11">
        <f>IF(I7="","",IF(OR(I7="attack",I7="survey_review",I7="benchmark_measurement",I7="position_other",I7="not_defense"),"n/a",IF(OR(X7="spec_normatif",X7="produksi_bukti_publik"),"L3",IF(ISNUMBER(SEARCH("independent",R7)),"L2",IF(R7="author_run","L1",IF(R7="none","L0",""))))))</f>
        <v/>
      </c>
      <c r="AB7" s="11">
        <f>IF(I7="","",IF(AND(K7="deterministic_policy",M7="ya"),"PERIKSA: deterministic_policy tetapi LLM/ML ada dalam keputusan. ","")&amp;IF(AND(U7="ya",V7=""),"PERIKSA: adaptif=ya wajib ada kutipan. ","")&amp;IF(AND(R7="none",U7&lt;&gt;"n/a_tanpa_evaluasi",U7&lt;&gt;""),"PERIKSA: tanpa evaluasi, adaptif harus n/a. ","")&amp;IF(AND(OR(R7="author_run",R7="author_run+independent",R7="independent_only"),Q7=""),"PERIKSA: isi kelas_dievaluasi. ","")&amp;IF(AND(OR(R7="author_run",R7="author_run+independent",R7="independent_only"),W7=""),"PERIKSA: isi lokasi_bukti. ","")&amp;IF(AND(H7="tidak",R7&lt;&gt;""),"PERIKSA: tanpa teks lengkap, kosongkan kolom evaluasi. ",""))</f>
        <v/>
      </c>
      <c r="AC7" t="inlineStr">
        <is>
          <t>include</t>
        </is>
      </c>
    </row>
    <row r="8" ht="409.6" customHeight="1" s="21">
      <c r="A8" s="8" t="inlineStr">
        <is>
          <t>chenkai-2026-when-agentic-executions-fail-detecting</t>
        </is>
      </c>
      <c r="B8" s="8" t="inlineStr">
        <is>
          <t>When Agentic Executions Fail: Detecting and Localizing Runtime Faults from Telemetry</t>
        </is>
      </c>
      <c r="C8" s="8" t="n">
        <v>2026</v>
      </c>
      <c r="D8" s="8" t="inlineStr">
        <is>
          <t>E2</t>
        </is>
      </c>
      <c r="E8" s="8" t="inlineStr">
        <is>
          <t>kandidat_agent</t>
        </is>
      </c>
      <c r="F8" s="8" t="inlineStr">
        <is>
          <t>primary</t>
        </is>
      </c>
      <c r="G8" s="9" t="inlineStr">
        <is>
          <t>https://arxiv.org/abs/2608.14680</t>
        </is>
      </c>
      <c r="H8" s="10" t="inlineStr">
        <is>
          <t>ya</t>
        </is>
      </c>
      <c r="I8" s="10" t="inlineStr">
        <is>
          <t>benchmark_measurement</t>
        </is>
      </c>
      <c r="J8" s="10" t="n"/>
      <c r="K8" s="10" t="n"/>
      <c r="L8" s="10" t="n"/>
      <c r="M8" s="10" t="n"/>
      <c r="N8" s="10" t="n"/>
      <c r="O8" s="10" t="n"/>
      <c r="P8" s="10" t="n"/>
      <c r="Q8" s="10" t="n"/>
      <c r="R8" s="10" t="n"/>
      <c r="S8" s="10" t="n"/>
      <c r="T8" s="10" t="n"/>
      <c r="U8" s="10" t="n"/>
      <c r="V8" s="10" t="n"/>
      <c r="W8" s="10" t="n"/>
      <c r="X8" s="10" t="n"/>
      <c r="Y8" s="10" t="n"/>
      <c r="Z8" s="10" t="inlineStr">
        <is>
          <t>Makalah kontribusi utamanya adalah benchmark injeksi kesalahan runtime (AgentChaosBench) berisi 275 jejak telemetri Langfuse pada 5 aplikasi multi-agen (MCP &amp; A2A) dengan evaluasi baseline LLM diagnostik (zero-shot LLM baselines); tidak mengusulkan mekanisme pertahanan baru. KODER 1 keliru menetapkannya sebagai defense_primary.</t>
        </is>
      </c>
      <c r="AA8" s="11">
        <f>IF(I8="","",IF(OR(I8="attack",I8="survey_review",I8="benchmark_measurement",I8="position_other",I8="not_defense"),"n/a",IF(OR(X8="spec_normatif",X8="produksi_bukti_publik"),"L3",IF(ISNUMBER(SEARCH("independent",R8)),"L2",IF(R8="author_run","L1",IF(R8="none","L0",""))))))</f>
        <v/>
      </c>
      <c r="AB8" s="11">
        <f>IF(I8="","",IF(AND(K8="deterministic_policy",M8="ya"),"PERIKSA: deterministic_policy tetapi LLM/ML ada dalam keputusan. ","")&amp;IF(AND(U8="ya",V8=""),"PERIKSA: adaptif=ya wajib ada kutipan. ","")&amp;IF(AND(R8="none",U8&lt;&gt;"n/a_tanpa_evaluasi",U8&lt;&gt;""),"PERIKSA: tanpa evaluasi, adaptif harus n/a. ","")&amp;IF(AND(OR(R8="author_run",R8="author_run+independent",R8="independent_only"),Q8=""),"PERIKSA: isi kelas_dievaluasi. ","")&amp;IF(AND(OR(R8="author_run",R8="author_run+independent",R8="independent_only"),W8=""),"PERIKSA: isi lokasi_bukti. ","")&amp;IF(AND(H8="tidak",R8&lt;&gt;""),"PERIKSA: tanpa teks lengkap, kosongkan kolom evaluasi. ",""))</f>
        <v/>
      </c>
      <c r="AC8" t="inlineStr">
        <is>
          <t>include</t>
        </is>
      </c>
    </row>
    <row r="9" ht="359.25" customHeight="1" s="21">
      <c r="A9" s="8" t="inlineStr">
        <is>
          <t>chenning-2026-adr-agentic-detection-system-enterprise</t>
        </is>
      </c>
      <c r="B9" s="8" t="inlineStr">
        <is>
          <t>ADR: An Agentic Detection System for Enterprise Agentic AI Security</t>
        </is>
      </c>
      <c r="C9" s="8" t="n">
        <v>2026</v>
      </c>
      <c r="D9" s="8" t="inlineStr">
        <is>
          <t>E2</t>
        </is>
      </c>
      <c r="E9" s="8" t="inlineStr">
        <is>
          <t>kandidat_agent</t>
        </is>
      </c>
      <c r="F9" s="8" t="inlineStr">
        <is>
          <t>primary</t>
        </is>
      </c>
      <c r="G9" s="9" t="inlineStr">
        <is>
          <t>https://arxiv.org/abs/2605.17380</t>
        </is>
      </c>
      <c r="H9" s="10" t="inlineStr">
        <is>
          <t>ya</t>
        </is>
      </c>
      <c r="I9" s="10" t="inlineStr">
        <is>
          <t>defense_primary</t>
        </is>
      </c>
      <c r="J9" s="10" t="inlineStr">
        <is>
          <t>ADR</t>
        </is>
      </c>
      <c r="K9" s="10" t="inlineStr">
        <is>
          <t>content_inspection_runtime</t>
        </is>
      </c>
      <c r="L9" s="10" t="inlineStr">
        <is>
          <t>Sistem deteksi ancaman agen enterprise dua tingkat (triage cepat berbasis heuristik/klasifikator dan penalaran mendalam berbasis LLM) yang menginspeksi telemetri runtime, jejak penalaran, dan pemanggilan tool MCP.</t>
        </is>
      </c>
      <c r="M9" s="10" t="inlineStr">
        <is>
          <t>ya</t>
        </is>
      </c>
      <c r="N9" s="10" t="inlineStr">
        <is>
          <t>H</t>
        </is>
      </c>
      <c r="O9" s="10" t="inlineStr">
        <is>
          <t>R2;R3;R5;R6;R7</t>
        </is>
      </c>
      <c r="P9" s="10" t="inlineStr">
        <is>
          <t>A1;A2;A3;B1;B2;C1;C2;C5;D1;D2;D3;OUT_OF_TAXONOMY:resource_abuse</t>
        </is>
      </c>
      <c r="Q9" s="10" t="inlineStr">
        <is>
          <t>A1;A2;C1;C5;D1;D2;D3;OUT_OF_TAXONOMY:resource_abuse</t>
        </is>
      </c>
      <c r="R9" s="10" t="inlineStr">
        <is>
          <t>author_run</t>
        </is>
      </c>
      <c r="S9" s="10" t="n"/>
      <c r="T9" s="10" t="inlineStr">
        <is>
          <t>mixed</t>
        </is>
      </c>
      <c r="U9" s="10" t="inlineStr">
        <is>
          <t>tidak</t>
        </is>
      </c>
      <c r="V9" s="10" t="n"/>
      <c r="W9" s="10" t="inlineStr">
        <is>
          <t>Sec. 4-5, Tabel 2, Gbr 6a, hal. 8-10</t>
        </is>
      </c>
      <c r="X9" s="10" t="inlineStr">
        <is>
          <t>none</t>
        </is>
      </c>
      <c r="Y9" s="10" t="inlineStr">
        <is>
          <t>biaya ($0.024/task) &amp; latensi (18.5s) dilaporkan (Sec 5.2, Fig 6b)</t>
        </is>
      </c>
      <c r="Z9" s="10" t="inlineStr">
        <is>
          <t>ADR dievaluasi pada ADR-Bench (17 teknik, 5 taktik) &amp; AgentDojo mencakup 8 kelas (termasuk C5 Code Interpreter &amp; Operational Impact: Resource Exhaustion/DoS dipetakan ke OUT_OF_TAXONOMY:resource_abuse). Kode repositori publik modelcon. Catatan deployment: prototipe internal/eksperimental (belum dirilis secara publik).</t>
        </is>
      </c>
      <c r="AA9" s="11">
        <f>IF(I9="","",IF(OR(I9="attack",I9="survey_review",I9="benchmark_measurement",I9="position_other",I9="not_defense"),"n/a",IF(OR(X9="spec_normatif",X9="produksi_bukti_publik"),"L3",IF(ISNUMBER(SEARCH("independent",R9)),"L2",IF(R9="author_run","L1",IF(R9="none","L0",""))))))</f>
        <v/>
      </c>
      <c r="AB9" s="11">
        <f>IF(I9="","",IF(AND(K9="deterministic_policy",M9="ya"),"PERIKSA: deterministic_policy tetapi LLM/ML ada dalam keputusan. ","")&amp;IF(AND(U9="ya",V9=""),"PERIKSA: adaptif=ya wajib ada kutipan. ","")&amp;IF(AND(R9="none",U9&lt;&gt;"n/a_tanpa_evaluasi",U9&lt;&gt;""),"PERIKSA: tanpa evaluasi, adaptif harus n/a. ","")&amp;IF(AND(OR(R9="author_run",R9="author_run+independent",R9="independent_only"),Q9=""),"PERIKSA: isi kelas_dievaluasi. ","")&amp;IF(AND(OR(R9="author_run",R9="author_run+independent",R9="independent_only"),W9=""),"PERIKSA: isi lokasi_bukti. ","")&amp;IF(AND(H9="tidak",R9&lt;&gt;""),"PERIKSA: tanpa teks lengkap, kosongkan kolom evaluasi. ",""))</f>
        <v/>
      </c>
      <c r="AC9" t="inlineStr">
        <is>
          <t>include</t>
        </is>
      </c>
    </row>
    <row r="10" ht="393" customHeight="1" s="21">
      <c r="A10" s="8" t="inlineStr">
        <is>
          <t>christoph-2025-agentbound-securing-execution-boundaries-ai</t>
        </is>
      </c>
      <c r="B10" s="8" t="inlineStr">
        <is>
          <t>AgentBound: Securing Execution Boundaries of AI Agents</t>
        </is>
      </c>
      <c r="C10" s="8" t="n">
        <v>2025</v>
      </c>
      <c r="D10" s="8" t="inlineStr">
        <is>
          <t>E1</t>
        </is>
      </c>
      <c r="E10" s="8" t="inlineStr">
        <is>
          <t>kandidat_agent</t>
        </is>
      </c>
      <c r="F10" s="8" t="inlineStr">
        <is>
          <t>primary</t>
        </is>
      </c>
      <c r="G10" s="9" t="inlineStr">
        <is>
          <t>https://arxiv.org/abs/2510.21236</t>
        </is>
      </c>
      <c r="H10" s="10" t="inlineStr">
        <is>
          <t>ya</t>
        </is>
      </c>
      <c r="I10" s="10" t="inlineStr">
        <is>
          <t>defense_primary</t>
        </is>
      </c>
      <c r="J10" s="10" t="inlineStr">
        <is>
          <t>AgentBound</t>
        </is>
      </c>
      <c r="K10" s="10" t="inlineStr">
        <is>
          <t>isolation_containment</t>
        </is>
      </c>
      <c r="L10" s="10" t="inlineStr">
        <is>
          <t>Kerangka pengamanan eksekusi server MCP berbasis deklarasi kapabilitas (AgentManifest) dan sandbox kontainer (AgentBox) yang mengisolasi akses berkas, jaringan, dan lingkungan secara deterministik.</t>
        </is>
      </c>
      <c r="M10" s="10" t="inlineStr">
        <is>
          <t>tidak</t>
        </is>
      </c>
      <c r="N10" s="10" t="inlineStr">
        <is>
          <t>H</t>
        </is>
      </c>
      <c r="O10" s="10" t="inlineStr">
        <is>
          <t>R5;R6</t>
        </is>
      </c>
      <c r="P10" s="10" t="inlineStr">
        <is>
          <t>B1;C5;D1</t>
        </is>
      </c>
      <c r="Q10" s="10" t="inlineStr">
        <is>
          <t>C5;D1</t>
        </is>
      </c>
      <c r="R10" s="10" t="inlineStr">
        <is>
          <t>author_run</t>
        </is>
      </c>
      <c r="S10" s="10" t="n"/>
      <c r="T10" s="10" t="inlineStr">
        <is>
          <t>mixed</t>
        </is>
      </c>
      <c r="U10" s="10" t="inlineStr">
        <is>
          <t>tidak</t>
        </is>
      </c>
      <c r="V10" s="10" t="n"/>
      <c r="W10" s="10" t="inlineStr">
        <is>
          <t>Sec 4; Sec 4.2; Sec 4.3; Table 2; hal. 11-16</t>
        </is>
      </c>
      <c r="X10" s="10" t="inlineStr">
        <is>
          <t>none</t>
        </is>
      </c>
      <c r="Y10" s="10" t="inlineStr">
        <is>
          <t>latensi dan overhead kontainer dilaporkan (Sec 4.3)</t>
        </is>
      </c>
      <c r="Z10" s="10" t="inlineStr">
        <is>
          <t>Eksekusi server di dalam kontainer AgentBox (Docker) menegakkan batas isolasi proses dan pembatasan kapabilitas manifest; mengevaluasi rug pull (B1), scope server (C5), dan eksfiltrasi data (D1). C1 dicabut karena isolasi proses bukan mediasi otorisasi sesi planner. Catatan deployment: prototipe internal/eksperimental (belum dirilis secara publik).</t>
        </is>
      </c>
      <c r="AA10" s="11">
        <f>IF(I10="","",IF(OR(I10="attack",I10="survey_review",I10="benchmark_measurement",I10="position_other",I10="not_defense"),"n/a",IF(OR(X10="spec_normatif",X10="produksi_bukti_publik"),"L3",IF(ISNUMBER(SEARCH("independent",R10)),"L2",IF(R10="author_run","L1",IF(R10="none","L0",""))))))</f>
        <v/>
      </c>
      <c r="AB10" s="11">
        <f>IF(I10="","",IF(AND(K10="deterministic_policy",M10="ya"),"PERIKSA: deterministic_policy tetapi LLM/ML ada dalam keputusan. ","")&amp;IF(AND(U10="ya",V10=""),"PERIKSA: adaptif=ya wajib ada kutipan. ","")&amp;IF(AND(R10="none",U10&lt;&gt;"n/a_tanpa_evaluasi",U10&lt;&gt;""),"PERIKSA: tanpa evaluasi, adaptif harus n/a. ","")&amp;IF(AND(OR(R10="author_run",R10="author_run+independent",R10="independent_only"),Q10=""),"PERIKSA: isi kelas_dievaluasi. ","")&amp;IF(AND(OR(R10="author_run",R10="author_run+independent",R10="independent_only"),W10=""),"PERIKSA: isi lokasi_bukti. ","")&amp;IF(AND(H10="tidak",R10&lt;&gt;""),"PERIKSA: tanpa teks lengkap, kosongkan kolom evaluasi. ",""))</f>
        <v/>
      </c>
      <c r="AC10" t="inlineStr">
        <is>
          <t>include</t>
        </is>
      </c>
    </row>
    <row r="11" ht="314.25" customHeight="1" s="21">
      <c r="A11" s="8" t="inlineStr">
        <is>
          <t>dongxu-2026-device-context-protocol-compact-safety</t>
        </is>
      </c>
      <c r="B11" s="8" t="inlineStr">
        <is>
          <t>Device Context Protocol: A Compact, Safety-First Architecture for LLM-Driven Control of Constrained Devices</t>
        </is>
      </c>
      <c r="C11" s="8" t="n">
        <v>2026</v>
      </c>
      <c r="D11" s="8" t="inlineStr">
        <is>
          <t>E2</t>
        </is>
      </c>
      <c r="E11" s="8" t="inlineStr">
        <is>
          <t>kandidat_agent</t>
        </is>
      </c>
      <c r="F11" s="8" t="inlineStr">
        <is>
          <t>primary</t>
        </is>
      </c>
      <c r="G11" s="9" t="inlineStr">
        <is>
          <t>https://arxiv.org/abs/2605.26159</t>
        </is>
      </c>
      <c r="H11" s="10" t="inlineStr">
        <is>
          <t>ya</t>
        </is>
      </c>
      <c r="I11" s="10" t="inlineStr">
        <is>
          <t>defense_primary</t>
        </is>
      </c>
      <c r="J11" s="10" t="inlineStr">
        <is>
          <t>Device Context Protocol</t>
        </is>
      </c>
      <c r="K11" s="10" t="inlineStr">
        <is>
          <t>protocol_provision</t>
        </is>
      </c>
      <c r="L11" s="10" t="inlineStr">
        <is>
          <t>Protokol biner kompak (DCP) dengan host-side Bridge yang memvalidasi skema kapabilitas wajib per-intent, batasan rentang, serta dry-run sebelum instruksi LLM mencapai perangkat fisik.</t>
        </is>
      </c>
      <c r="M11" s="10" t="inlineStr">
        <is>
          <t>tidak</t>
        </is>
      </c>
      <c r="N11" s="10" t="inlineStr">
        <is>
          <t>gateway_proxy</t>
        </is>
      </c>
      <c r="O11" s="10" t="inlineStr">
        <is>
          <t>R2;R5</t>
        </is>
      </c>
      <c r="P11" s="10" t="inlineStr">
        <is>
          <t>A2;C5</t>
        </is>
      </c>
      <c r="Q11" s="10" t="inlineStr">
        <is>
          <t>A2;C5</t>
        </is>
      </c>
      <c r="R11" s="10" t="inlineStr">
        <is>
          <t>author_run</t>
        </is>
      </c>
      <c r="S11" s="10" t="n"/>
      <c r="T11" s="10" t="inlineStr">
        <is>
          <t>mixed</t>
        </is>
      </c>
      <c r="U11" s="10" t="inlineStr">
        <is>
          <t>tidak</t>
        </is>
      </c>
      <c r="V11" s="10" t="n"/>
      <c r="W11" s="10" t="inlineStr">
        <is>
          <t>Sec 4; Sec 5; Fig 3; hal. 8-10</t>
        </is>
      </c>
      <c r="X11" s="10" t="inlineStr">
        <is>
          <t>none</t>
        </is>
      </c>
      <c r="Y11" s="10" t="inlineStr">
        <is>
          <t>footprint firmware (27.6 KB flash, 0.6 KB RAM) &amp; latensi dilaporkan</t>
        </is>
      </c>
      <c r="Z11" s="10" t="inlineStr">
        <is>
          <t>Protokol keamanan berorientasi perangkat terbatas (DCP) dengan host Bridge penegak kapabilitas deterministik. Diuji pada 675 panggilan dari 5 LLM komersial terhadap 6 kategori serangan termasuk injeksi AgentDojo. Catatan deployment: prototipe internal/eksperimental (belum dirilis secara publik).</t>
        </is>
      </c>
      <c r="AA11" s="11">
        <f>IF(I11="","",IF(OR(I11="attack",I11="survey_review",I11="benchmark_measurement",I11="position_other",I11="not_defense"),"n/a",IF(OR(X11="spec_normatif",X11="produksi_bukti_publik"),"L3",IF(ISNUMBER(SEARCH("independent",R11)),"L2",IF(R11="author_run","L1",IF(R11="none","L0",""))))))</f>
        <v/>
      </c>
      <c r="AB11" s="11">
        <f>IF(I11="","",IF(AND(K11="deterministic_policy",M11="ya"),"PERIKSA: deterministic_policy tetapi LLM/ML ada dalam keputusan. ","")&amp;IF(AND(U11="ya",V11=""),"PERIKSA: adaptif=ya wajib ada kutipan. ","")&amp;IF(AND(R11="none",U11&lt;&gt;"n/a_tanpa_evaluasi",U11&lt;&gt;""),"PERIKSA: tanpa evaluasi, adaptif harus n/a. ","")&amp;IF(AND(OR(R11="author_run",R11="author_run+independent",R11="independent_only"),Q11=""),"PERIKSA: isi kelas_dievaluasi. ","")&amp;IF(AND(OR(R11="author_run",R11="author_run+independent",R11="independent_only"),W11=""),"PERIKSA: isi lokasi_bukti. ","")&amp;IF(AND(H11="tidak",R11&lt;&gt;""),"PERIKSA: tanpa teks lengkap, kosongkan kolom evaluasi. ",""))</f>
        <v/>
      </c>
      <c r="AC11" t="inlineStr">
        <is>
          <t>include</t>
        </is>
      </c>
    </row>
    <row r="12" ht="292.5" customHeight="1" s="21">
      <c r="A12" s="8" t="inlineStr">
        <is>
          <t>fatemeh-2026-federated-mcp-gateway-enforceable-isolation</t>
        </is>
      </c>
      <c r="B12" s="8" t="inlineStr">
        <is>
          <t>A Federated MCP Gateway: Enforceable Isolation and Measuring Residual Semantic Attacks</t>
        </is>
      </c>
      <c r="C12" s="8" t="n">
        <v>2026</v>
      </c>
      <c r="D12" s="8" t="inlineStr">
        <is>
          <t>E1</t>
        </is>
      </c>
      <c r="E12" s="8" t="inlineStr">
        <is>
          <t>kandidat_agent</t>
        </is>
      </c>
      <c r="F12" s="8" t="inlineStr">
        <is>
          <t>primary</t>
        </is>
      </c>
      <c r="G12" s="9" t="inlineStr">
        <is>
          <t>https://doi.org/10.1109/noms69089.2026.11668221</t>
        </is>
      </c>
      <c r="H12" s="10" t="inlineStr">
        <is>
          <t>ya</t>
        </is>
      </c>
      <c r="I12" s="10" t="inlineStr">
        <is>
          <t>defense_primary</t>
        </is>
      </c>
      <c r="J12" s="10" t="inlineStr">
        <is>
          <t>Federated MCP Gateway</t>
        </is>
      </c>
      <c r="K12" s="10" t="inlineStr">
        <is>
          <t>isolation_containment</t>
        </is>
      </c>
      <c r="L12" s="10" t="inlineStr">
        <is>
          <t>Gateway federasi MCP terpusat dengan kontrol isolasi tenant berbasis JWT, verifikasi skema, dan filter regex/firewall output terhadap serangan semantik residu.</t>
        </is>
      </c>
      <c r="M12" s="10" t="inlineStr">
        <is>
          <t>tidak</t>
        </is>
      </c>
      <c r="N12" s="10" t="inlineStr">
        <is>
          <t>gateway_proxy</t>
        </is>
      </c>
      <c r="O12" s="10" t="inlineStr">
        <is>
          <t>R1;R2;R3;R5</t>
        </is>
      </c>
      <c r="P12" s="10" t="inlineStr">
        <is>
          <t>A2;D1;D2;OUT_OF_TAXONOMY:resource_abuse</t>
        </is>
      </c>
      <c r="Q12" s="10" t="inlineStr">
        <is>
          <t>A2;D1;D2;OUT_OF_TAXONOMY:resource_abuse</t>
        </is>
      </c>
      <c r="R12" s="10" t="inlineStr">
        <is>
          <t>author_run</t>
        </is>
      </c>
      <c r="S12" s="10" t="n"/>
      <c r="T12" s="10" t="inlineStr">
        <is>
          <t>authors_own</t>
        </is>
      </c>
      <c r="U12" s="10" t="inlineStr">
        <is>
          <t>tidak</t>
        </is>
      </c>
      <c r="V12" s="10" t="n"/>
      <c r="W12" s="10" t="inlineStr">
        <is>
          <t>Sec. IV, Tabel III, hal. 4-6</t>
        </is>
      </c>
      <c r="X12" s="10" t="inlineStr">
        <is>
          <t>none</t>
        </is>
      </c>
      <c r="Y12" s="10" t="inlineStr">
        <is>
          <t>dilaporkan: tingkat blokir dan mismatch per modul penegakan (Tabel III)</t>
        </is>
      </c>
      <c r="Z12" s="10" t="inlineStr">
        <is>
          <t>Federated MCP Gateway (defense_primary, L1). Isolasi tenant/identitas (D1;D2), pemfilteran regex (A2), dan kontrol amplifikasi sumber daya 100 req/menit (OUT_OF_TAXONOMY:resource_abuse). Suite 93 kasus sintetik; adaptif=tidak.</t>
        </is>
      </c>
      <c r="AA12" s="11">
        <f>IF(I12="","",IF(OR(I12="attack",I12="survey_review",I12="benchmark_measurement",I12="position_other",I12="not_defense"),"n/a",IF(OR(X12="spec_normatif",X12="produksi_bukti_publik"),"L3",IF(ISNUMBER(SEARCH("independent",R12)),"L2",IF(R12="author_run","L1",IF(R12="none","L0",""))))))</f>
        <v/>
      </c>
      <c r="AB12" s="11">
        <f>IF(I12="","",IF(AND(K12="deterministic_policy",M12="ya"),"PERIKSA: deterministic_policy tetapi LLM/ML ada dalam keputusan. ","")&amp;IF(AND(U12="ya",V12=""),"PERIKSA: adaptif=ya wajib ada kutipan. ","")&amp;IF(AND(R12="none",U12&lt;&gt;"n/a_tanpa_evaluasi",U12&lt;&gt;""),"PERIKSA: tanpa evaluasi, adaptif harus n/a. ","")&amp;IF(AND(OR(R12="author_run",R12="author_run+independent",R12="independent_only"),Q12=""),"PERIKSA: isi kelas_dievaluasi. ","")&amp;IF(AND(OR(R12="author_run",R12="author_run+independent",R12="independent_only"),W12=""),"PERIKSA: isi lokasi_bukti. ","")&amp;IF(AND(H12="tidak",R12&lt;&gt;""),"PERIKSA: tanpa teks lengkap, kosongkan kolom evaluasi. ",""))</f>
        <v/>
      </c>
      <c r="AC12" t="inlineStr">
        <is>
          <t>include</t>
        </is>
      </c>
    </row>
    <row r="13" ht="292.5" customHeight="1" s="21">
      <c r="A13" s="8" t="inlineStr">
        <is>
          <t>gamini-2026-mcp-secure-runtime-access-control</t>
        </is>
      </c>
      <c r="B13" s="8" t="inlineStr">
        <is>
          <t>MCP-Secure: A Runtime Access Control Layer for Privilege-Aware LLM Agent Tooling</t>
        </is>
      </c>
      <c r="C13" s="8" t="n">
        <v>2026</v>
      </c>
      <c r="D13" s="8" t="inlineStr">
        <is>
          <t>E1</t>
        </is>
      </c>
      <c r="E13" s="8" t="inlineStr">
        <is>
          <t>kandidat_agent</t>
        </is>
      </c>
      <c r="F13" s="8" t="inlineStr">
        <is>
          <t>primary</t>
        </is>
      </c>
      <c r="G13" s="9" t="inlineStr">
        <is>
          <t>https://doi.org/10.1109/ojcs.2026.3664314</t>
        </is>
      </c>
      <c r="H13" s="10" t="inlineStr">
        <is>
          <t>ya</t>
        </is>
      </c>
      <c r="I13" s="10" t="inlineStr">
        <is>
          <t>defense_primary</t>
        </is>
      </c>
      <c r="J13" s="10" t="inlineStr">
        <is>
          <t>MCP-Secure</t>
        </is>
      </c>
      <c r="K13" s="10" t="inlineStr">
        <is>
          <t>deterministic_policy</t>
        </is>
      </c>
      <c r="L13" s="10" t="inlineStr">
        <is>
          <t>Lapisan kontrol akses runtime host-side berbasis state machine level-sesi dengan izin default read-only dan approval gating untuk eskalasi hak istimewa pemanggilan tool.</t>
        </is>
      </c>
      <c r="M13" s="10" t="inlineStr">
        <is>
          <t>tidak</t>
        </is>
      </c>
      <c r="N13" s="10" t="inlineStr">
        <is>
          <t>H</t>
        </is>
      </c>
      <c r="O13" s="10" t="inlineStr">
        <is>
          <t>R3;R5</t>
        </is>
      </c>
      <c r="P13" s="10" t="inlineStr">
        <is>
          <t>C1;C5</t>
        </is>
      </c>
      <c r="Q13" s="10" t="inlineStr">
        <is>
          <t>C1;C5</t>
        </is>
      </c>
      <c r="R13" s="10" t="inlineStr">
        <is>
          <t>author_run</t>
        </is>
      </c>
      <c r="S13" s="10" t="n"/>
      <c r="T13" s="10" t="inlineStr">
        <is>
          <t>authors_own</t>
        </is>
      </c>
      <c r="U13" s="10" t="inlineStr">
        <is>
          <t>tidak</t>
        </is>
      </c>
      <c r="V13" s="10" t="n"/>
      <c r="W13" s="10" t="inlineStr">
        <is>
          <t>Sec. IV-V; hal. 508-512</t>
        </is>
      </c>
      <c r="X13" s="10" t="inlineStr">
        <is>
          <t>none</t>
        </is>
      </c>
      <c r="Y13" s="10" t="inlineStr">
        <is>
          <t>dilaporkan: overhead runtime minimal mempertahankan utilitas (Sec. V)</t>
        </is>
      </c>
      <c r="Z13" s="10" t="inlineStr">
        <is>
          <t>Teks lengkap IEEE OJCS (Vol. 7, pp. 504-513). Evaluasi author_run pada 1.080 eksekusi simulasi adversarial: mengurangi blast radius tool berbahaya/halusinasi dan mengendalikan eskalasi wewenang. Catatan deployment: prototipe internal/eksperimental (belum dirilis secara publik).</t>
        </is>
      </c>
      <c r="AA13" s="11">
        <f>IF(I13="","",IF(OR(I13="attack",I13="survey_review",I13="benchmark_measurement",I13="position_other",I13="not_defense"),"n/a",IF(OR(X13="spec_normatif",X13="produksi_bukti_publik"),"L3",IF(ISNUMBER(SEARCH("independent",R13)),"L2",IF(R13="author_run","L1",IF(R13="none","L0",""))))))</f>
        <v/>
      </c>
      <c r="AB13" s="11">
        <f>IF(I13="","",IF(AND(K13="deterministic_policy",M13="ya"),"PERIKSA: deterministic_policy tetapi LLM/ML ada dalam keputusan. ","")&amp;IF(AND(U13="ya",V13=""),"PERIKSA: adaptif=ya wajib ada kutipan. ","")&amp;IF(AND(R13="none",U13&lt;&gt;"n/a_tanpa_evaluasi",U13&lt;&gt;""),"PERIKSA: tanpa evaluasi, adaptif harus n/a. ","")&amp;IF(AND(OR(R13="author_run",R13="author_run+independent",R13="independent_only"),Q13=""),"PERIKSA: isi kelas_dievaluasi. ","")&amp;IF(AND(OR(R13="author_run",R13="author_run+independent",R13="independent_only"),W13=""),"PERIKSA: isi lokasi_bukti. ","")&amp;IF(AND(H13="tidak",R13&lt;&gt;""),"PERIKSA: tanpa teks lengkap, kosongkan kolom evaluasi. ",""))</f>
        <v/>
      </c>
      <c r="AC13" t="inlineStr">
        <is>
          <t>include</t>
        </is>
      </c>
    </row>
    <row r="14" ht="359.25" customHeight="1" s="21">
      <c r="A14" s="8" t="inlineStr">
        <is>
          <t>giovanni-2026-mandato-protocol-level-enforcement-digitally</t>
        </is>
      </c>
      <c r="B14" s="8" t="inlineStr">
        <is>
          <t>Mandato: Protocol-Level Enforcement of Digitally Signed Mandates on AI Agent Actions with Cryptographically Chained Audit Trails</t>
        </is>
      </c>
      <c r="C14" s="8" t="n">
        <v>2026</v>
      </c>
      <c r="D14" s="8" t="inlineStr">
        <is>
          <t>E2</t>
        </is>
      </c>
      <c r="E14" s="8" t="inlineStr">
        <is>
          <t>kandidat_agent</t>
        </is>
      </c>
      <c r="F14" s="8" t="inlineStr">
        <is>
          <t>primary</t>
        </is>
      </c>
      <c r="G14" s="9" t="inlineStr">
        <is>
          <t>https://arxiv.org/abs/2608.14074</t>
        </is>
      </c>
      <c r="H14" s="10" t="inlineStr">
        <is>
          <t>ya</t>
        </is>
      </c>
      <c r="I14" s="10" t="inlineStr">
        <is>
          <t>proposal_only</t>
        </is>
      </c>
      <c r="J14" s="10" t="inlineStr">
        <is>
          <t>MANDATO</t>
        </is>
      </c>
      <c r="K14" s="10" t="inlineStr">
        <is>
          <t>capability_or_token</t>
        </is>
      </c>
      <c r="L14" s="10" t="inlineStr">
        <is>
          <t>Proxy tata kelola MCP yang memvalidasi mandat bertanda tangan digital pada aksi agen dan mencatat jejak audit terantai kriptografis secara tamper-evident.</t>
        </is>
      </c>
      <c r="M14" s="10" t="inlineStr">
        <is>
          <t>tidak</t>
        </is>
      </c>
      <c r="N14" s="10" t="inlineStr">
        <is>
          <t>gateway_proxy</t>
        </is>
      </c>
      <c r="O14" s="10" t="inlineStr">
        <is>
          <t>R3;R5</t>
        </is>
      </c>
      <c r="P14" s="10" t="inlineStr">
        <is>
          <t>C1;C2;C3</t>
        </is>
      </c>
      <c r="Q14" s="10" t="n"/>
      <c r="R14" s="10" t="inlineStr">
        <is>
          <t>none</t>
        </is>
      </c>
      <c r="S14" s="10" t="n"/>
      <c r="T14" s="10" t="inlineStr">
        <is>
          <t>none</t>
        </is>
      </c>
      <c r="U14" s="10" t="inlineStr">
        <is>
          <t>n/a_tanpa_evaluasi</t>
        </is>
      </c>
      <c r="V14" s="10" t="n"/>
      <c r="W14" s="10" t="n"/>
      <c r="X14" s="10" t="inlineStr">
        <is>
          <t>none</t>
        </is>
      </c>
      <c r="Y14" s="10" t="inlineStr">
        <is>
          <t>not_reported</t>
        </is>
      </c>
      <c r="Z14" s="10" t="inlineStr">
        <is>
          <t>Proxy tata kelola MCP untuk mandat bertanda tangan digital. Penulis menyatakan status epistemik sistem masih dalam pengembangan (system under construction) tanpa hasil empiris. KODER 1 menandai defense_primary dengan jenis_evaluasi: none (L0).</t>
        </is>
      </c>
      <c r="AA14" s="11">
        <f>IF(I14="","",IF(OR(I14="attack",I14="survey_review",I14="benchmark_measurement",I14="position_other",I14="not_defense"),"n/a",IF(OR(X14="spec_normatif",X14="produksi_bukti_publik"),"L3",IF(ISNUMBER(SEARCH("independent",R14)),"L2",IF(R14="author_run","L1",IF(R14="none","L0",""))))))</f>
        <v/>
      </c>
      <c r="AB14" s="11">
        <f>IF(I14="","",IF(AND(K14="deterministic_policy",M14="ya"),"PERIKSA: deterministic_policy tetapi LLM/ML ada dalam keputusan. ","")&amp;IF(AND(U14="ya",V14=""),"PERIKSA: adaptif=ya wajib ada kutipan. ","")&amp;IF(AND(R14="none",U14&lt;&gt;"n/a_tanpa_evaluasi",U14&lt;&gt;""),"PERIKSA: tanpa evaluasi, adaptif harus n/a. ","")&amp;IF(AND(OR(R14="author_run",R14="author_run+independent",R14="independent_only"),Q14=""),"PERIKSA: isi kelas_dievaluasi. ","")&amp;IF(AND(OR(R14="author_run",R14="author_run+independent",R14="independent_only"),W14=""),"PERIKSA: isi lokasi_bukti. ","")&amp;IF(AND(H14="tidak",R14&lt;&gt;""),"PERIKSA: tanpa teks lengkap, kosongkan kolom evaluasi. ",""))</f>
        <v/>
      </c>
      <c r="AC14" t="inlineStr">
        <is>
          <t>include</t>
        </is>
      </c>
    </row>
    <row r="15" ht="303" customHeight="1" s="21">
      <c r="A15" s="8" t="inlineStr">
        <is>
          <t>guanlin-2025-zero-knowledge-audit-internet-agents</t>
        </is>
      </c>
      <c r="B15" s="8" t="inlineStr">
        <is>
          <t>Zero-Knowledge Audit for Internet of Agents: Privacy-Preserving Communication Verification with Model Context Protocol</t>
        </is>
      </c>
      <c r="C15" s="8" t="n">
        <v>2025</v>
      </c>
      <c r="D15" s="8" t="inlineStr">
        <is>
          <t>E2</t>
        </is>
      </c>
      <c r="E15" s="8" t="inlineStr">
        <is>
          <t>kandidat_agent</t>
        </is>
      </c>
      <c r="F15" s="8" t="inlineStr">
        <is>
          <t>primary</t>
        </is>
      </c>
      <c r="G15" s="9" t="inlineStr">
        <is>
          <t>https://arxiv.org/abs/2512.14737</t>
        </is>
      </c>
      <c r="H15" s="10" t="inlineStr">
        <is>
          <t>ya</t>
        </is>
      </c>
      <c r="I15" s="10" t="inlineStr">
        <is>
          <t>defense_primary</t>
        </is>
      </c>
      <c r="J15" s="10" t="inlineStr">
        <is>
          <t>zk-MCP</t>
        </is>
      </c>
      <c r="K15" s="10" t="inlineStr">
        <is>
          <t>integrity_provenance</t>
        </is>
      </c>
      <c r="L15" s="10" t="inlineStr">
        <is>
          <t>Protokol audit privasi berbasis Zero-Knowledge Proof pada saluran MCP yang memverifikasi kepatuhan format dan keabsahan pesan tanpa mengungkap isi komunikasi.</t>
        </is>
      </c>
      <c r="M15" s="10" t="inlineStr">
        <is>
          <t>tidak</t>
        </is>
      </c>
      <c r="N15" s="10" t="inlineStr">
        <is>
          <t>gateway_proxy</t>
        </is>
      </c>
      <c r="O15" s="10" t="inlineStr">
        <is>
          <t>R4;R6</t>
        </is>
      </c>
      <c r="P15" s="10" t="inlineStr">
        <is>
          <t>C3;D1</t>
        </is>
      </c>
      <c r="Q15" s="10" t="inlineStr">
        <is>
          <t>C3;D1</t>
        </is>
      </c>
      <c r="R15" s="10" t="inlineStr">
        <is>
          <t>author_run</t>
        </is>
      </c>
      <c r="S15" s="10" t="n"/>
      <c r="T15" s="10" t="inlineStr">
        <is>
          <t>authors_own</t>
        </is>
      </c>
      <c r="U15" s="10" t="inlineStr">
        <is>
          <t>tidak</t>
        </is>
      </c>
      <c r="V15" s="10" t="n"/>
      <c r="W15" s="10" t="inlineStr">
        <is>
          <t>Sec V; Table III; Table IV; hal. 8-11</t>
        </is>
      </c>
      <c r="X15" s="10" t="inlineStr">
        <is>
          <t>none</t>
        </is>
      </c>
      <c r="Y15" s="10" t="inlineStr">
        <is>
          <t>latensi bukti ZK (&lt; 50ms) dan overhead transmisi dilaporkan (Sec V)</t>
        </is>
      </c>
      <c r="Z15" s="10" t="inlineStr">
        <is>
          <t>Protokol audit privasi berbasis Zero-Knowledge Proof (zk-MCP) terintegrasi pada kanal MCP. Penegakan kriptografis deterministik (Circom ZK circuit). Dievaluasi pada testbed komunikasi multi-agen IoA. Catatan deployment: prototipe internal/eksperimental (belum dirilis secara publik).</t>
        </is>
      </c>
      <c r="AA15" s="11">
        <f>IF(I15="","",IF(OR(I15="attack",I15="survey_review",I15="benchmark_measurement",I15="position_other",I15="not_defense"),"n/a",IF(OR(X15="spec_normatif",X15="produksi_bukti_publik"),"L3",IF(ISNUMBER(SEARCH("independent",R15)),"L2",IF(R15="author_run","L1",IF(R15="none","L0",""))))))</f>
        <v/>
      </c>
      <c r="AB15" s="11">
        <f>IF(I15="","",IF(AND(K15="deterministic_policy",M15="ya"),"PERIKSA: deterministic_policy tetapi LLM/ML ada dalam keputusan. ","")&amp;IF(AND(U15="ya",V15=""),"PERIKSA: adaptif=ya wajib ada kutipan. ","")&amp;IF(AND(R15="none",U15&lt;&gt;"n/a_tanpa_evaluasi",U15&lt;&gt;""),"PERIKSA: tanpa evaluasi, adaptif harus n/a. ","")&amp;IF(AND(OR(R15="author_run",R15="author_run+independent",R15="independent_only"),Q15=""),"PERIKSA: isi kelas_dievaluasi. ","")&amp;IF(AND(OR(R15="author_run",R15="author_run+independent",R15="independent_only"),W15=""),"PERIKSA: isi lokasi_bukti. ","")&amp;IF(AND(H15="tidak",R15&lt;&gt;""),"PERIKSA: tanpa teks lengkap, kosongkan kolom evaluasi. ",""))</f>
        <v/>
      </c>
      <c r="AC15" t="inlineStr">
        <is>
          <t>include</t>
        </is>
      </c>
    </row>
    <row r="16" ht="359.25" customHeight="1" s="21">
      <c r="A16" s="8" t="inlineStr">
        <is>
          <t>huan-2026-zero-trust-authorization-discovery-enterprise</t>
        </is>
      </c>
      <c r="B16" s="8" t="inlineStr">
        <is>
          <t>Zero-Trust Authorization and Discovery for Enterprise MCP</t>
        </is>
      </c>
      <c r="C16" s="8" t="n">
        <v>2026</v>
      </c>
      <c r="D16" s="8" t="inlineStr">
        <is>
          <t>E2</t>
        </is>
      </c>
      <c r="E16" s="8" t="inlineStr">
        <is>
          <t>kandidat_agent</t>
        </is>
      </c>
      <c r="F16" s="8" t="inlineStr">
        <is>
          <t>primary</t>
        </is>
      </c>
      <c r="G16" s="9" t="inlineStr">
        <is>
          <t>https://arxiv.org/abs/2609.22573</t>
        </is>
      </c>
      <c r="H16" s="10" t="inlineStr">
        <is>
          <t>ya</t>
        </is>
      </c>
      <c r="I16" s="10" t="inlineStr">
        <is>
          <t>defense_primary</t>
        </is>
      </c>
      <c r="J16" s="10" t="inlineStr">
        <is>
          <t>FastMCP Zero-Trust Extensions</t>
        </is>
      </c>
      <c r="K16" s="10" t="inlineStr">
        <is>
          <t>deterministic_policy</t>
        </is>
      </c>
      <c r="L16" s="10" t="inlineStr">
        <is>
          <t>Ekstensi zero-trust middleware FastMCP yang menyediakan otorisasi per-tool AND/OR deklaratif, autentikasi dual-persona, serta cache introspeksi token untuk validasi kontinu.</t>
        </is>
      </c>
      <c r="M16" s="10" t="inlineStr">
        <is>
          <t>tidak</t>
        </is>
      </c>
      <c r="N16" s="10" t="inlineStr">
        <is>
          <t>gateway_proxy</t>
        </is>
      </c>
      <c r="O16" s="10" t="inlineStr">
        <is>
          <t>R3;R4;R5</t>
        </is>
      </c>
      <c r="P16" s="10" t="inlineStr">
        <is>
          <t>C1;C2;C3;C5</t>
        </is>
      </c>
      <c r="Q16" s="10" t="inlineStr">
        <is>
          <t>C1;C2;C3;C5</t>
        </is>
      </c>
      <c r="R16" s="10" t="inlineStr">
        <is>
          <t>author_run</t>
        </is>
      </c>
      <c r="S16" s="10" t="n"/>
      <c r="T16" s="10" t="inlineStr">
        <is>
          <t>authors_own</t>
        </is>
      </c>
      <c r="U16" s="10" t="inlineStr">
        <is>
          <t>tidak</t>
        </is>
      </c>
      <c r="V16" s="10" t="n"/>
      <c r="W16" s="10" t="inlineStr">
        <is>
          <t>Sec 4.1; Sec 4.2; Sec 4.3; Table 2; Table 3; Table 4; hal. 6-10</t>
        </is>
      </c>
      <c r="X16" s="10" t="inlineStr">
        <is>
          <t>none</t>
        </is>
      </c>
      <c r="Y16" s="10" t="inlineStr">
        <is>
          <t>latensi (p50: 9.9 ms vs 296 ms, Tabel 2) dan trace produksi 7 hari dilaporkan (Sec 4.2)</t>
        </is>
      </c>
      <c r="Z16" s="10" t="inlineStr">
        <is>
          <t>Ekstensi zero-trust untuk FastMCP oleh insinyur PayPal yang menambahkan otorisasi per-tool, dual-persona auth, dan cache introspeksi token. Diuji secara adversarial pada testbed alat Kubernetes dan dievaluasi pada jejak produksi PayPal 7 hari. Catatan deployment: prototipe internal/eksperimental (belum dirilis secara publik).</t>
        </is>
      </c>
      <c r="AA16" s="11">
        <f>IF(I16="","",IF(OR(I16="attack",I16="survey_review",I16="benchmark_measurement",I16="position_other",I16="not_defense"),"n/a",IF(OR(X16="spec_normatif",X16="produksi_bukti_publik"),"L3",IF(ISNUMBER(SEARCH("independent",R16)),"L2",IF(R16="author_run","L1",IF(R16="none","L0",""))))))</f>
        <v/>
      </c>
      <c r="AB16" s="11">
        <f>IF(I16="","",IF(AND(K16="deterministic_policy",M16="ya"),"PERIKSA: deterministic_policy tetapi LLM/ML ada dalam keputusan. ","")&amp;IF(AND(U16="ya",V16=""),"PERIKSA: adaptif=ya wajib ada kutipan. ","")&amp;IF(AND(R16="none",U16&lt;&gt;"n/a_tanpa_evaluasi",U16&lt;&gt;""),"PERIKSA: tanpa evaluasi, adaptif harus n/a. ","")&amp;IF(AND(OR(R16="author_run",R16="author_run+independent",R16="independent_only"),Q16=""),"PERIKSA: isi kelas_dievaluasi. ","")&amp;IF(AND(OR(R16="author_run",R16="author_run+independent",R16="independent_only"),W16=""),"PERIKSA: isi lokasi_bukti. ","")&amp;IF(AND(H16="tidak",R16&lt;&gt;""),"PERIKSA: tanpa teks lengkap, kosongkan kolom evaluasi. ",""))</f>
        <v/>
      </c>
      <c r="AC16" t="inlineStr">
        <is>
          <t>include</t>
        </is>
      </c>
    </row>
    <row r="17" ht="409.6" customHeight="1" s="21">
      <c r="A17" s="8" t="inlineStr">
        <is>
          <t>huihao-2025-mcip-protecting-mcp-safety-via</t>
        </is>
      </c>
      <c r="B17" s="8" t="inlineStr">
        <is>
          <t>MCIP: Protecting MCP Safety via Model Contextual Integrity Protocol</t>
        </is>
      </c>
      <c r="C17" s="8" t="n">
        <v>2025</v>
      </c>
      <c r="D17" s="8" t="inlineStr">
        <is>
          <t>E1</t>
        </is>
      </c>
      <c r="E17" s="8" t="inlineStr">
        <is>
          <t>kandidat_agent</t>
        </is>
      </c>
      <c r="F17" s="8" t="inlineStr">
        <is>
          <t>primary</t>
        </is>
      </c>
      <c r="G17" s="9" t="inlineStr">
        <is>
          <t>https://doi.org/10.18653/v1/2025.emnlp-main.62</t>
        </is>
      </c>
      <c r="H17" s="10" t="inlineStr">
        <is>
          <t>ya</t>
        </is>
      </c>
      <c r="I17" s="10" t="inlineStr">
        <is>
          <t>defense_primary</t>
        </is>
      </c>
      <c r="J17" s="10" t="inlineStr">
        <is>
          <t>MCIP</t>
        </is>
      </c>
      <c r="K17" s="10" t="inlineStr">
        <is>
          <t>content_inspection_runtime</t>
        </is>
      </c>
      <c r="L17" s="10" t="inlineStr">
        <is>
          <t>Protokol integritas kontekstual dengan model pelindung (MCIP Guardian) yang mengawasi alur konteks interaksi MCP dan mendeteksi aksi tidak aman pada pemanggilan tool.</t>
        </is>
      </c>
      <c r="M17" s="10" t="inlineStr">
        <is>
          <t>ya</t>
        </is>
      </c>
      <c r="N17" s="10" t="inlineStr">
        <is>
          <t>H</t>
        </is>
      </c>
      <c r="O17" s="10" t="inlineStr">
        <is>
          <t>R2;R5;R6</t>
        </is>
      </c>
      <c r="P17" s="10" t="inlineStr">
        <is>
          <t>A1;A2;C5;D1</t>
        </is>
      </c>
      <c r="Q17" s="10" t="inlineStr">
        <is>
          <t>A1;A2;C5;D1</t>
        </is>
      </c>
      <c r="R17" s="10" t="inlineStr">
        <is>
          <t>author_run+independent</t>
        </is>
      </c>
      <c r="S17" s="10" t="inlineStr">
        <is>
          <t>yixuan-2025-mcpsecbench-systematic-security-benchmark-playground</t>
        </is>
      </c>
      <c r="T17" s="10" t="inlineStr">
        <is>
          <t>mixed</t>
        </is>
      </c>
      <c r="U17" s="10" t="inlineStr">
        <is>
          <t>tidak</t>
        </is>
      </c>
      <c r="V17" s="10" t="n"/>
      <c r="W17" s="10" t="inlineStr">
        <is>
          <t>Sec 6; Sec 7; Table 2; Fig 5; hal. 6-9</t>
        </is>
      </c>
      <c r="X17" s="10" t="inlineStr">
        <is>
          <t>none</t>
        </is>
      </c>
      <c r="Y17" s="10" t="inlineStr">
        <is>
          <t>trade-off utilitas BFCL dan resistensi risiko dilaporkan (Tabel 2, Fig 5)</t>
        </is>
      </c>
      <c r="Z17" s="10" t="inlineStr">
        <is>
          <t>Kerangka pengamanan MCP berbasis protokol integritas kontekstual (MCIP) dan model pelindung (MCIP Guardian). Dievaluasi secara independen oleh MCPSecBench (yixuan-2025) pada 3 platform MCP (Tabel 1, 2, Fig 4, 6) sehingga mencapai maturitas L2. Catatan deployment: prototipe internal/eksperimental (belum dirilis secara publik).</t>
        </is>
      </c>
      <c r="AA17" s="11">
        <f>IF(I17="","",IF(OR(I17="attack",I17="survey_review",I17="benchmark_measurement",I17="position_other",I17="not_defense"),"n/a",IF(OR(X17="spec_normatif",X17="produksi_bukti_publik"),"L3",IF(ISNUMBER(SEARCH("independent",R17)),"L2",IF(R17="author_run","L1",IF(R17="none","L0",""))))))</f>
        <v/>
      </c>
      <c r="AB17" s="11">
        <f>IF(I17="","",IF(AND(K17="deterministic_policy",M17="ya"),"PERIKSA: deterministic_policy tetapi LLM/ML ada dalam keputusan. ","")&amp;IF(AND(U17="ya",V17=""),"PERIKSA: adaptif=ya wajib ada kutipan. ","")&amp;IF(AND(R17="none",U17&lt;&gt;"n/a_tanpa_evaluasi",U17&lt;&gt;""),"PERIKSA: tanpa evaluasi, adaptif harus n/a. ","")&amp;IF(AND(OR(R17="author_run",R17="author_run+independent",R17="independent_only"),Q17=""),"PERIKSA: isi kelas_dievaluasi. ","")&amp;IF(AND(OR(R17="author_run",R17="author_run+independent",R17="independent_only"),W17=""),"PERIKSA: isi lokasi_bukti. ","")&amp;IF(AND(H17="tidak",R17&lt;&gt;""),"PERIKSA: tanpa teks lengkap, kosongkan kolom evaluasi. ",""))</f>
        <v/>
      </c>
      <c r="AC17" t="inlineStr">
        <is>
          <t>include</t>
        </is>
      </c>
    </row>
    <row r="18" ht="314.25" customHeight="1" s="21">
      <c r="A18" s="8" t="inlineStr">
        <is>
          <t>ignacio-2026-crud-autonomous-agents-formal-validation</t>
        </is>
      </c>
      <c r="B18" s="8" t="inlineStr">
        <is>
          <t>From CRUD to Autonomous Agents: Formal Validation and Zero-Trust Security for Semantic Gateways in AI-Native Enterprise Systems</t>
        </is>
      </c>
      <c r="C18" s="8" t="n">
        <v>2026</v>
      </c>
      <c r="D18" s="8" t="inlineStr">
        <is>
          <t>E2</t>
        </is>
      </c>
      <c r="E18" s="8" t="inlineStr">
        <is>
          <t>kandidat_agent</t>
        </is>
      </c>
      <c r="F18" s="8" t="inlineStr">
        <is>
          <t>primary</t>
        </is>
      </c>
      <c r="G18" s="9" t="inlineStr">
        <is>
          <t>https://arxiv.org/abs/2604.25555</t>
        </is>
      </c>
      <c r="H18" s="10" t="inlineStr">
        <is>
          <t>ya</t>
        </is>
      </c>
      <c r="I18" s="10" t="inlineStr">
        <is>
          <t>defense_primary</t>
        </is>
      </c>
      <c r="J18" s="10" t="inlineStr">
        <is>
          <t>Semantic Gateway</t>
        </is>
      </c>
      <c r="K18" s="10" t="inlineStr">
        <is>
          <t>deterministic_policy</t>
        </is>
      </c>
      <c r="L18" s="10" t="inlineStr">
        <is>
          <t>Gateway semantik zero-trust dengan validasi formal transisi state (EPA) dan penegakan kebijakan OPA/Rego deterministik untuk mencegah pelanggaran otorisasi BOLA.</t>
        </is>
      </c>
      <c r="M18" s="10" t="inlineStr">
        <is>
          <t>tidak</t>
        </is>
      </c>
      <c r="N18" s="10" t="inlineStr">
        <is>
          <t>gateway_proxy</t>
        </is>
      </c>
      <c r="O18" s="10" t="inlineStr">
        <is>
          <t>R3;R5</t>
        </is>
      </c>
      <c r="P18" s="10" t="inlineStr">
        <is>
          <t>C1;C2;C5</t>
        </is>
      </c>
      <c r="Q18" s="10" t="inlineStr">
        <is>
          <t>C1;C2;C5</t>
        </is>
      </c>
      <c r="R18" s="10" t="inlineStr">
        <is>
          <t>author_run</t>
        </is>
      </c>
      <c r="S18" s="10" t="n"/>
      <c r="T18" s="10" t="inlineStr">
        <is>
          <t>authors_own</t>
        </is>
      </c>
      <c r="U18" s="10" t="inlineStr">
        <is>
          <t>tidak</t>
        </is>
      </c>
      <c r="V18" s="10" t="n"/>
      <c r="W18" s="10" t="inlineStr">
        <is>
          <t>Sec 8; Sec 8.3; Sec 8.4; Table 2; Table 3; hal. 14-16</t>
        </is>
      </c>
      <c r="X18" s="10" t="inlineStr">
        <is>
          <t>prototype_open_source</t>
        </is>
      </c>
      <c r="Y18" s="10" t="inlineStr">
        <is>
          <t>latensi gateway semantik vs traditional REST baseline dilaporkan (Tabel 3)</t>
        </is>
      </c>
      <c r="Z18" s="10" t="inlineStr">
        <is>
          <t>Gateway semantik zero-trust dengan penegakan kebijakan deterministik OPA/Rego dan validasi formal graf EPA. Dievaluasi dengan semantic fuzzer 500 iterasi dan 47 kasus uji, menolak pelanggaran BOLA dan transisi ilegal. Repositori/artefak: https://github.com/PeyranoDev/semantic-gateway-poc.</t>
        </is>
      </c>
      <c r="AA18" s="11">
        <f>IF(I18="","",IF(OR(I18="attack",I18="survey_review",I18="benchmark_measurement",I18="position_other",I18="not_defense"),"n/a",IF(OR(X18="spec_normatif",X18="produksi_bukti_publik"),"L3",IF(ISNUMBER(SEARCH("independent",R18)),"L2",IF(R18="author_run","L1",IF(R18="none","L0",""))))))</f>
        <v/>
      </c>
      <c r="AB18" s="11">
        <f>IF(I18="","",IF(AND(K18="deterministic_policy",M18="ya"),"PERIKSA: deterministic_policy tetapi LLM/ML ada dalam keputusan. ","")&amp;IF(AND(U18="ya",V18=""),"PERIKSA: adaptif=ya wajib ada kutipan. ","")&amp;IF(AND(R18="none",U18&lt;&gt;"n/a_tanpa_evaluasi",U18&lt;&gt;""),"PERIKSA: tanpa evaluasi, adaptif harus n/a. ","")&amp;IF(AND(OR(R18="author_run",R18="author_run+independent",R18="independent_only"),Q18=""),"PERIKSA: isi kelas_dievaluasi. ","")&amp;IF(AND(OR(R18="author_run",R18="author_run+independent",R18="independent_only"),W18=""),"PERIKSA: isi lokasi_bukti. ","")&amp;IF(AND(H18="tidak",R18&lt;&gt;""),"PERIKSA: tanpa teks lengkap, kosongkan kolom evaluasi. ",""))</f>
        <v/>
      </c>
      <c r="AC18" t="inlineStr">
        <is>
          <t>include</t>
        </is>
      </c>
    </row>
    <row r="19" ht="325.5" customHeight="1" s="21">
      <c r="A19" s="8" t="inlineStr">
        <is>
          <t>ivo-2025-simplified-secure-mcp-gateways-enterprise</t>
        </is>
      </c>
      <c r="B19" s="8" t="inlineStr">
        <is>
          <t>Simplified and Secure MCP Gateways for Enterprise AI Integration</t>
        </is>
      </c>
      <c r="C19" s="8" t="n">
        <v>2025</v>
      </c>
      <c r="D19" s="8" t="inlineStr">
        <is>
          <t>E2</t>
        </is>
      </c>
      <c r="E19" s="8" t="inlineStr">
        <is>
          <t>kandidat_agent</t>
        </is>
      </c>
      <c r="F19" s="8" t="inlineStr">
        <is>
          <t>primary</t>
        </is>
      </c>
      <c r="G19" s="9" t="inlineStr">
        <is>
          <t>https://doi.org/10.48550/arxiv.2504.19997</t>
        </is>
      </c>
      <c r="H19" s="10" t="inlineStr">
        <is>
          <t>ya</t>
        </is>
      </c>
      <c r="I19" s="10" t="inlineStr">
        <is>
          <t>defense_primary</t>
        </is>
      </c>
      <c r="J19" s="10" t="inlineStr">
        <is>
          <t>MCP Gateway</t>
        </is>
      </c>
      <c r="K19" s="10" t="inlineStr">
        <is>
          <t>deterministic_policy</t>
        </is>
      </c>
      <c r="L19" s="10" t="inlineStr">
        <is>
          <t>Arsitektur gateway pengaman MCP enterprise self-hosted berbasis OAuth2-proxy, reverse proxy Traefik, CrowdSec IDS/WAF, dan tunnel WireGuard.</t>
        </is>
      </c>
      <c r="M19" s="10" t="inlineStr">
        <is>
          <t>tidak</t>
        </is>
      </c>
      <c r="N19" s="10" t="inlineStr">
        <is>
          <t>gateway_proxy</t>
        </is>
      </c>
      <c r="O19" s="10" t="inlineStr">
        <is>
          <t>R4;R5</t>
        </is>
      </c>
      <c r="P19" s="10" t="inlineStr">
        <is>
          <t>C3;C5</t>
        </is>
      </c>
      <c r="Q19" s="10" t="inlineStr">
        <is>
          <t>C3;C5</t>
        </is>
      </c>
      <c r="R19" s="10" t="inlineStr">
        <is>
          <t>author_run</t>
        </is>
      </c>
      <c r="S19" s="10" t="n"/>
      <c r="T19" s="10" t="inlineStr">
        <is>
          <t>authors_own</t>
        </is>
      </c>
      <c r="U19" s="10" t="inlineStr">
        <is>
          <t>tidak</t>
        </is>
      </c>
      <c r="V19" s="10" t="n"/>
      <c r="W19" s="10" t="inlineStr">
        <is>
          <t>Sec VIII; Table I; Table II; hal. 4-6</t>
        </is>
      </c>
      <c r="X19" s="10" t="inlineStr">
        <is>
          <t>none</t>
        </is>
      </c>
      <c r="Y19" s="10" t="inlineStr">
        <is>
          <t>not_reported</t>
        </is>
      </c>
      <c r="Z19" s="10" t="inlineStr">
        <is>
          <t>Arsitektur gateway pengaman MCP enterprise self-hosted berbasis OAuth2-proxy, Traefik, CrowdSec, dan tunnel WireGuard. Penegakan deterministik pada gateway proxy menolak permintaan tanpa autentikasi dan token tidak sah. Catatan deployment: prototipe internal/eksperimental (belum dirilis secara publik).</t>
        </is>
      </c>
      <c r="AA19" s="11">
        <f>IF(I19="","",IF(OR(I19="attack",I19="survey_review",I19="benchmark_measurement",I19="position_other",I19="not_defense"),"n/a",IF(OR(X19="spec_normatif",X19="produksi_bukti_publik"),"L3",IF(ISNUMBER(SEARCH("independent",R19)),"L2",IF(R19="author_run","L1",IF(R19="none","L0",""))))))</f>
        <v/>
      </c>
      <c r="AB19" s="11">
        <f>IF(I19="","",IF(AND(K19="deterministic_policy",M19="ya"),"PERIKSA: deterministic_policy tetapi LLM/ML ada dalam keputusan. ","")&amp;IF(AND(U19="ya",V19=""),"PERIKSA: adaptif=ya wajib ada kutipan. ","")&amp;IF(AND(R19="none",U19&lt;&gt;"n/a_tanpa_evaluasi",U19&lt;&gt;""),"PERIKSA: tanpa evaluasi, adaptif harus n/a. ","")&amp;IF(AND(OR(R19="author_run",R19="author_run+independent",R19="independent_only"),Q19=""),"PERIKSA: isi kelas_dievaluasi. ","")&amp;IF(AND(OR(R19="author_run",R19="author_run+independent",R19="independent_only"),W19=""),"PERIKSA: isi lokasi_bukti. ","")&amp;IF(AND(H19="tidak",R19&lt;&gt;""),"PERIKSA: tanpa teks lengkap, kosongkan kolom evaluasi. ",""))</f>
        <v/>
      </c>
      <c r="AC19" t="inlineStr">
        <is>
          <t>include</t>
        </is>
      </c>
    </row>
    <row r="20" ht="325.5" customHeight="1" s="21">
      <c r="A20" s="8" t="inlineStr">
        <is>
          <t>jalendar-2025-zero-trust-proof-gated-agent</t>
        </is>
      </c>
      <c r="B20" s="8" t="inlineStr">
        <is>
          <t>Zero-Trust Proof-Gated Agent Architecture (ZPAA): A Comprehensive Security Model for the Model Context Protocol (MCP)</t>
        </is>
      </c>
      <c r="C20" s="8" t="n">
        <v>2025</v>
      </c>
      <c r="D20" s="8" t="inlineStr">
        <is>
          <t>E2</t>
        </is>
      </c>
      <c r="E20" s="8" t="inlineStr">
        <is>
          <t>kandidat_agent</t>
        </is>
      </c>
      <c r="F20" s="8" t="inlineStr">
        <is>
          <t>primary</t>
        </is>
      </c>
      <c r="G20" s="9" t="inlineStr">
        <is>
          <t>https://doi.org/10.22541/au.175761889.90929465/v1</t>
        </is>
      </c>
      <c r="H20" s="10" t="inlineStr">
        <is>
          <t>ya</t>
        </is>
      </c>
      <c r="I20" s="10" t="inlineStr">
        <is>
          <t>defense_primary</t>
        </is>
      </c>
      <c r="J20" s="10" t="inlineStr">
        <is>
          <t>Zero-Trust Proof-Gated Agent Architecture</t>
        </is>
      </c>
      <c r="K20" s="10" t="inlineStr">
        <is>
          <t>deterministic_policy</t>
        </is>
      </c>
      <c r="L20" s="10" t="inlineStr">
        <is>
          <t>Model arsitektur agen zero-trust berbasis bukti untuk memvalidasi interaksi dan izin pemanggilan Model Context Protocol.</t>
        </is>
      </c>
      <c r="M20" s="10" t="inlineStr">
        <is>
          <t>tidak</t>
        </is>
      </c>
      <c r="N20" s="10" t="inlineStr">
        <is>
          <t>gateway_proxy</t>
        </is>
      </c>
      <c r="O20" s="10" t="inlineStr">
        <is>
          <t>R3;R4</t>
        </is>
      </c>
      <c r="P20" s="10" t="inlineStr">
        <is>
          <t>C3;C1</t>
        </is>
      </c>
      <c r="Q20" s="10" t="inlineStr">
        <is>
          <t>C1;C3</t>
        </is>
      </c>
      <c r="R20" s="10" t="inlineStr">
        <is>
          <t>author_run</t>
        </is>
      </c>
      <c r="S20" s="10" t="n"/>
      <c r="T20" s="10" t="inlineStr">
        <is>
          <t>authors_own</t>
        </is>
      </c>
      <c r="U20" s="10" t="inlineStr">
        <is>
          <t>tidak</t>
        </is>
      </c>
      <c r="V20" s="10" t="n"/>
      <c r="W20" s="10" t="inlineStr">
        <is>
          <t>Sec. IV, Sec. V, Tabel 2</t>
        </is>
      </c>
      <c r="X20" s="10" t="inlineStr">
        <is>
          <t>none</t>
        </is>
      </c>
      <c r="Y20" s="10" t="inlineStr">
        <is>
          <t>dilaporkan: pembangkitan proof 85 ms, verifikasi 4.2 ms (Groth16/Circom)</t>
        </is>
      </c>
      <c r="Z20" s="10" t="inlineStr">
        <is>
          <t>Zero-Trust Proof-Gated Agent Architecture (defense_primary, L1). Evaluasi empiris benchmark kriptografis zk-SNARKs (Groth16/Circom): proof generation 85 ms, verifikasi 4.2 ms (Sec. IV-V, Tab. 2). Teks lengkap terbuka di Authorea (DOI 10.22541/au.175761889.90929465/v1).</t>
        </is>
      </c>
      <c r="AA20" s="11">
        <f>IF(I20="","",IF(OR(I20="attack",I20="survey_review",I20="benchmark_measurement",I20="position_other",I20="not_defense"),"n/a",IF(OR(X20="spec_normatif",X20="produksi_bukti_publik"),"L3",IF(ISNUMBER(SEARCH("independent",R20)),"L2",IF(R20="author_run","L1",IF(R20="none","L0",""))))))</f>
        <v/>
      </c>
      <c r="AB20" s="11">
        <f>IF(I20="","",IF(AND(K20="deterministic_policy",M20="ya"),"PERIKSA: deterministic_policy tetapi LLM/ML ada dalam keputusan. ","")&amp;IF(AND(U20="ya",V20=""),"PERIKSA: adaptif=ya wajib ada kutipan. ","")&amp;IF(AND(R20="none",U20&lt;&gt;"n/a_tanpa_evaluasi",U20&lt;&gt;""),"PERIKSA: tanpa evaluasi, adaptif harus n/a. ","")&amp;IF(AND(OR(R20="author_run",R20="author_run+independent",R20="independent_only"),Q20=""),"PERIKSA: isi kelas_dievaluasi. ","")&amp;IF(AND(OR(R20="author_run",R20="author_run+independent",R20="independent_only"),W20=""),"PERIKSA: isi lokasi_bukti. ","")&amp;IF(AND(H20="tidak",R20&lt;&gt;""),"PERIKSA: tanpa teks lengkap, kosongkan kolom evaluasi. ",""))</f>
        <v/>
      </c>
      <c r="AC20" t="inlineStr">
        <is>
          <t>include</t>
        </is>
      </c>
    </row>
    <row r="21" ht="381.75" customHeight="1" s="21">
      <c r="A21" s="8" t="inlineStr">
        <is>
          <t>manish-2025-etdi-mitigating-tool-squatting-rug</t>
        </is>
      </c>
      <c r="B21" s="8" t="inlineStr">
        <is>
          <t>ETDI: Mitigating Tool Squatting and Rug Pull Attacks in Model Context Protocol (MCP) by using OAuth-Enhanced Tool Definitions and Policy-Based Access Control</t>
        </is>
      </c>
      <c r="C21" s="8" t="n">
        <v>2025</v>
      </c>
      <c r="D21" s="8" t="inlineStr">
        <is>
          <t>E1</t>
        </is>
      </c>
      <c r="E21" s="8" t="inlineStr">
        <is>
          <t>kandidat_agent</t>
        </is>
      </c>
      <c r="F21" s="8" t="inlineStr">
        <is>
          <t>primary</t>
        </is>
      </c>
      <c r="G21" s="9" t="inlineStr">
        <is>
          <t>https://arxiv.org/abs/2506.01333</t>
        </is>
      </c>
      <c r="H21" s="10" t="inlineStr">
        <is>
          <t>ya</t>
        </is>
      </c>
      <c r="I21" s="10" t="inlineStr">
        <is>
          <t>defense_primary</t>
        </is>
      </c>
      <c r="J21" s="10" t="inlineStr">
        <is>
          <t>ETDI</t>
        </is>
      </c>
      <c r="K21" s="10" t="inlineStr">
        <is>
          <t>integrity_provenance</t>
        </is>
      </c>
      <c r="L21" s="10" t="inlineStr">
        <is>
          <t>Spesifikasi antarmuka Enhanced Tool Definition Interface (ETDI) dengan verifikasi identitas kriptografis, versi definisi immutable, dan kebijakan Cedar/OPA untuk mitigasi tool squatting dan rug pull.</t>
        </is>
      </c>
      <c r="M21" s="10" t="inlineStr">
        <is>
          <t>tidak</t>
        </is>
      </c>
      <c r="N21" s="10" t="inlineStr">
        <is>
          <t>lainnya</t>
        </is>
      </c>
      <c r="O21" s="10" t="inlineStr">
        <is>
          <t>R1;R6</t>
        </is>
      </c>
      <c r="P21" s="10" t="inlineStr">
        <is>
          <t>A1;B1</t>
        </is>
      </c>
      <c r="Q21" s="10" t="n"/>
      <c r="R21" s="10" t="inlineStr">
        <is>
          <t>none</t>
        </is>
      </c>
      <c r="S21" s="10" t="n"/>
      <c r="T21" s="10" t="inlineStr">
        <is>
          <t>none</t>
        </is>
      </c>
      <c r="U21" s="10" t="inlineStr">
        <is>
          <t>n/a_tanpa_evaluasi</t>
        </is>
      </c>
      <c r="V21" s="10" t="n"/>
      <c r="W21" s="10" t="inlineStr">
        <is>
          <t>Sec. 3-4, hal. 4-6</t>
        </is>
      </c>
      <c r="X21" s="10" t="inlineStr">
        <is>
          <t>none</t>
        </is>
      </c>
      <c r="Y21" s="10" t="inlineStr">
        <is>
          <t>not_reported</t>
        </is>
      </c>
      <c r="Z21" s="10" t="inlineStr">
        <is>
          <t>Spesifikasi Enhanced Tool Definition Interface (ETDI) dengan verifikasi identitas kriptografis, versi immutable, dan integrasi kebijakan Cedar/OPA untuk mitigasi tool squatting dan rug pull. Tanpa evaluasi empiris (L0). | [NORMALISASI v2: paradigma cryptographic_integrity -&gt; integrity_provenance; titik G -&gt; lainnya; nilai di luar daftar]</t>
        </is>
      </c>
      <c r="AA21" s="11">
        <f>IF(I21="","",IF(OR(I21="attack",I21="survey_review",I21="benchmark_measurement",I21="position_other",I21="not_defense"),"n/a",IF(OR(X21="spec_normatif",X21="produksi_bukti_publik"),"L3",IF(ISNUMBER(SEARCH("independent",R21)),"L2",IF(R21="author_run","L1",IF(R21="none","L0",""))))))</f>
        <v/>
      </c>
      <c r="AB21" s="11">
        <f>IF(I21="","",IF(AND(K21="deterministic_policy",M21="ya"),"PERIKSA: deterministic_policy tetapi LLM/ML ada dalam keputusan. ","")&amp;IF(AND(U21="ya",V21=""),"PERIKSA: adaptif=ya wajib ada kutipan. ","")&amp;IF(AND(R21="none",U21&lt;&gt;"n/a_tanpa_evaluasi",U21&lt;&gt;""),"PERIKSA: tanpa evaluasi, adaptif harus n/a. ","")&amp;IF(AND(OR(R21="author_run",R21="author_run+independent",R21="independent_only"),Q21=""),"PERIKSA: isi kelas_dievaluasi. ","")&amp;IF(AND(OR(R21="author_run",R21="author_run+independent",R21="independent_only"),W21=""),"PERIKSA: isi lokasi_bukti. ","")&amp;IF(AND(H21="tidak",R21&lt;&gt;""),"PERIKSA: tanpa teks lengkap, kosongkan kolom evaluasi. ",""))</f>
        <v/>
      </c>
      <c r="AC21" t="inlineStr">
        <is>
          <t>include</t>
        </is>
      </c>
    </row>
    <row r="22" ht="409.6" customHeight="1" s="21">
      <c r="A22" s="8" t="inlineStr">
        <is>
          <t>mirza-2026-stochastic-deputy-structural-tenant-isolation</t>
        </is>
      </c>
      <c r="B22" s="8" t="inlineStr">
        <is>
          <t>The Stochastic Deputy: Structural Tenant Isolation for Tool-Using LLM Agents</t>
        </is>
      </c>
      <c r="C22" s="8" t="n">
        <v>2026</v>
      </c>
      <c r="D22" s="8" t="inlineStr">
        <is>
          <t>E2</t>
        </is>
      </c>
      <c r="E22" s="8" t="inlineStr">
        <is>
          <t>kandidat_agent</t>
        </is>
      </c>
      <c r="F22" s="8" t="inlineStr">
        <is>
          <t>primary</t>
        </is>
      </c>
      <c r="G22" s="9" t="inlineStr">
        <is>
          <t>https://arxiv.org/abs/2609.14780</t>
        </is>
      </c>
      <c r="H22" s="10" t="inlineStr">
        <is>
          <t>ya</t>
        </is>
      </c>
      <c r="I22" s="10" t="inlineStr">
        <is>
          <t>defense_primary</t>
        </is>
      </c>
      <c r="J22" s="10" t="inlineStr">
        <is>
          <t>Structural Tenant Isolation</t>
        </is>
      </c>
      <c r="K22" s="10" t="inlineStr">
        <is>
          <t>deterministic_policy</t>
        </is>
      </c>
      <c r="L22" s="10" t="inlineStr">
        <is>
          <t>Pertahanan struktural terhadap masalah stochastic deputy dengan menghapus parameter tenant dari skema tool MCP dan menegakkan isolasi tenant di bawah agen melalui credential binding dan query rewriting.</t>
        </is>
      </c>
      <c r="M22" s="10" t="inlineStr">
        <is>
          <t>tidak</t>
        </is>
      </c>
      <c r="N22" s="10" t="inlineStr">
        <is>
          <t>S</t>
        </is>
      </c>
      <c r="O22" s="10" t="inlineStr">
        <is>
          <t>R3;R5</t>
        </is>
      </c>
      <c r="P22" s="10" t="inlineStr">
        <is>
          <t>C1;C2;D1</t>
        </is>
      </c>
      <c r="Q22" s="10" t="inlineStr">
        <is>
          <t>C1;C2;D1</t>
        </is>
      </c>
      <c r="R22" s="10" t="inlineStr">
        <is>
          <t>author_run</t>
        </is>
      </c>
      <c r="S22" s="10" t="n"/>
      <c r="T22" s="10" t="inlineStr">
        <is>
          <t>authors_own</t>
        </is>
      </c>
      <c r="U22" s="10" t="inlineStr">
        <is>
          <t>tidak</t>
        </is>
      </c>
      <c r="V22" s="10" t="n"/>
      <c r="W22" s="10" t="inlineStr">
        <is>
          <t>Sec 8; Sec 8.1; Table 1; Table 2; hal. 8-15</t>
        </is>
      </c>
      <c r="X22" s="10" t="inlineStr">
        <is>
          <t>none</t>
        </is>
      </c>
      <c r="Y22" s="10" t="inlineStr">
        <is>
          <t>latensi dan rasio optimasi query MySQL dilaporkan (Sec 8, RQ2)</t>
        </is>
      </c>
      <c r="Z22" s="10" t="inlineStr">
        <is>
          <t>Pertahanan isolasi multi-tenant struktural (structural tenant isolation) terhadap masalah stochastic deputy dengan menghapus parameter tenant dari skema tool MCP dan mengikat lingkup pada kredensial terverifikasi. Dievaluasi pada 373 uji lintas 8 LLM dan basis data MySQL multi-GB. Catatan deployment: prototipe internal/eksperimental (belum dirilis secara publik).</t>
        </is>
      </c>
      <c r="AA22" s="11">
        <f>IF(I22="","",IF(OR(I22="attack",I22="survey_review",I22="benchmark_measurement",I22="position_other",I22="not_defense"),"n/a",IF(OR(X22="spec_normatif",X22="produksi_bukti_publik"),"L3",IF(ISNUMBER(SEARCH("independent",R22)),"L2",IF(R22="author_run","L1",IF(R22="none","L0",""))))))</f>
        <v/>
      </c>
      <c r="AB22" s="11">
        <f>IF(I22="","",IF(AND(K22="deterministic_policy",M22="ya"),"PERIKSA: deterministic_policy tetapi LLM/ML ada dalam keputusan. ","")&amp;IF(AND(U22="ya",V22=""),"PERIKSA: adaptif=ya wajib ada kutipan. ","")&amp;IF(AND(R22="none",U22&lt;&gt;"n/a_tanpa_evaluasi",U22&lt;&gt;""),"PERIKSA: tanpa evaluasi, adaptif harus n/a. ","")&amp;IF(AND(OR(R22="author_run",R22="author_run+independent",R22="independent_only"),Q22=""),"PERIKSA: isi kelas_dievaluasi. ","")&amp;IF(AND(OR(R22="author_run",R22="author_run+independent",R22="independent_only"),W22=""),"PERIKSA: isi lokasi_bukti. ","")&amp;IF(AND(H22="tidak",R22&lt;&gt;""),"PERIKSA: tanpa teks lengkap, kosongkan kolom evaluasi. ",""))</f>
        <v/>
      </c>
      <c r="AC22" t="inlineStr">
        <is>
          <t>include</t>
        </is>
      </c>
    </row>
    <row r="23" ht="393" customHeight="1" s="21">
      <c r="A23" s="8" t="inlineStr">
        <is>
          <t>nirajan-2026-formal-security-framework-mcp-based</t>
        </is>
      </c>
      <c r="B23" s="8" t="inlineStr">
        <is>
          <t>A Formal Security Framework for MCP-Based AI Agents: Threat Taxonomy, Verification Models, and Defense Mechanisms</t>
        </is>
      </c>
      <c r="C23" s="8" t="n">
        <v>2026</v>
      </c>
      <c r="D23" s="8" t="inlineStr">
        <is>
          <t>E2</t>
        </is>
      </c>
      <c r="E23" s="8" t="inlineStr">
        <is>
          <t>kandidat_agent</t>
        </is>
      </c>
      <c r="F23" s="8" t="inlineStr">
        <is>
          <t>primary</t>
        </is>
      </c>
      <c r="G23" s="9" t="inlineStr">
        <is>
          <t>https://arxiv.org/abs/2604.05969</t>
        </is>
      </c>
      <c r="H23" s="10" t="inlineStr">
        <is>
          <t>ya</t>
        </is>
      </c>
      <c r="I23" s="10" t="inlineStr">
        <is>
          <t>proposal_only</t>
        </is>
      </c>
      <c r="J23" s="10" t="inlineStr">
        <is>
          <t>MCPSHIELD</t>
        </is>
      </c>
      <c r="K23" s="10" t="inlineStr">
        <is>
          <t>protocol_provision</t>
        </is>
      </c>
      <c r="L23" s="10" t="inlineStr">
        <is>
          <t>Kerangka formal dan arsitektur defense-in-depth empat lapis (MCPSHIELD) berbasis model verifikasi formal Labeled Transition Systems untuk mengamankan ekosistem agen MCP.</t>
        </is>
      </c>
      <c r="M23" s="10" t="inlineStr">
        <is>
          <t>tidak</t>
        </is>
      </c>
      <c r="N23" s="10" t="inlineStr">
        <is>
          <t>gateway_proxy</t>
        </is>
      </c>
      <c r="O23" s="10" t="inlineStr">
        <is>
          <t>R1;R2;R3;R4;R5;R6;R7</t>
        </is>
      </c>
      <c r="P23" s="10" t="inlineStr">
        <is>
          <t>A1;A2;B1;B2;C1;C3;C5;D1;D3</t>
        </is>
      </c>
      <c r="Q23" s="10" t="n"/>
      <c r="R23" s="10" t="inlineStr">
        <is>
          <t>none</t>
        </is>
      </c>
      <c r="S23" s="10" t="n"/>
      <c r="T23" s="10" t="inlineStr">
        <is>
          <t>none</t>
        </is>
      </c>
      <c r="U23" s="10" t="inlineStr">
        <is>
          <t>n/a_tanpa_evaluasi</t>
        </is>
      </c>
      <c r="V23" s="10" t="n"/>
      <c r="W23" s="10" t="n"/>
      <c r="X23" s="10" t="inlineStr">
        <is>
          <t>none</t>
        </is>
      </c>
      <c r="Y23" s="10" t="inlineStr">
        <is>
          <t>not_reported</t>
        </is>
      </c>
      <c r="Z23" s="10" t="inlineStr">
        <is>
          <t>Kerangka keamanan formal dan arsitektur defense-in-depth berlapis (MCPSHIELD) berbasis model verifikasi formal Labeled Transition Systems (LTS). Tidak menyertakan evaluasi empiris pertahanan terhadap serangan. KODER 1 menandai defense_primary dengan jenis_evaluasi none (L0).</t>
        </is>
      </c>
      <c r="AA23" s="11">
        <f>IF(I23="","",IF(OR(I23="attack",I23="survey_review",I23="benchmark_measurement",I23="position_other",I23="not_defense"),"n/a",IF(OR(X23="spec_normatif",X23="produksi_bukti_publik"),"L3",IF(ISNUMBER(SEARCH("independent",R23)),"L2",IF(R23="author_run","L1",IF(R23="none","L0",""))))))</f>
        <v/>
      </c>
      <c r="AB23" s="11">
        <f>IF(I23="","",IF(AND(K23="deterministic_policy",M23="ya"),"PERIKSA: deterministic_policy tetapi LLM/ML ada dalam keputusan. ","")&amp;IF(AND(U23="ya",V23=""),"PERIKSA: adaptif=ya wajib ada kutipan. ","")&amp;IF(AND(R23="none",U23&lt;&gt;"n/a_tanpa_evaluasi",U23&lt;&gt;""),"PERIKSA: tanpa evaluasi, adaptif harus n/a. ","")&amp;IF(AND(OR(R23="author_run",R23="author_run+independent",R23="independent_only"),Q23=""),"PERIKSA: isi kelas_dievaluasi. ","")&amp;IF(AND(OR(R23="author_run",R23="author_run+independent",R23="independent_only"),W23=""),"PERIKSA: isi lokasi_bukti. ","")&amp;IF(AND(H23="tidak",R23&lt;&gt;""),"PERIKSA: tanpa teks lengkap, kosongkan kolom evaluasi. ",""))</f>
        <v/>
      </c>
      <c r="AC23" t="inlineStr">
        <is>
          <t>include</t>
        </is>
      </c>
    </row>
    <row r="24" ht="348" customHeight="1" s="21">
      <c r="A24" s="8" t="inlineStr">
        <is>
          <t>parya-2026-mcp-scanner-detecting-security-risks</t>
        </is>
      </c>
      <c r="B24" s="8" t="inlineStr">
        <is>
          <t>MCP-Scanner: Detecting Security Risks in Model Context Protocol Systems</t>
        </is>
      </c>
      <c r="C24" s="8" t="n">
        <v>2026</v>
      </c>
      <c r="D24" s="8" t="inlineStr">
        <is>
          <t>E1</t>
        </is>
      </c>
      <c r="E24" s="8" t="inlineStr">
        <is>
          <t>kandidat_agent</t>
        </is>
      </c>
      <c r="F24" s="8" t="inlineStr">
        <is>
          <t>primary</t>
        </is>
      </c>
      <c r="G24" s="9" t="inlineStr">
        <is>
          <t>https://doi.org/10.1145/3786160.3788471</t>
        </is>
      </c>
      <c r="H24" s="10" t="inlineStr">
        <is>
          <t>ya</t>
        </is>
      </c>
      <c r="I24" s="10" t="inlineStr">
        <is>
          <t>defense_primary</t>
        </is>
      </c>
      <c r="J24" s="10" t="inlineStr">
        <is>
          <t>MCP-Scanner (eSentire MCP-Scanner)</t>
        </is>
      </c>
      <c r="K24" s="10" t="inlineStr">
        <is>
          <t>content_inspection_static</t>
        </is>
      </c>
      <c r="L24" s="10" t="inlineStr">
        <is>
          <t>Pemindai komprehensif multi-layer (kata kunci, SentenceTransformer embeddings, dan LLM-as-judge) untuk memeriksa keamanan tools, prompts, dan resources server MCP.</t>
        </is>
      </c>
      <c r="M24" s="10" t="inlineStr">
        <is>
          <t>ya</t>
        </is>
      </c>
      <c r="N24" s="10" t="inlineStr">
        <is>
          <t>offline_analysis</t>
        </is>
      </c>
      <c r="O24" s="10" t="inlineStr">
        <is>
          <t>R1;R2;R3;R5;R7</t>
        </is>
      </c>
      <c r="P24" s="10" t="inlineStr">
        <is>
          <t>A1;A2;B2;C1;D3</t>
        </is>
      </c>
      <c r="Q24" s="10" t="inlineStr">
        <is>
          <t>A1;A2;D3</t>
        </is>
      </c>
      <c r="R24" s="10" t="inlineStr">
        <is>
          <t>author_run</t>
        </is>
      </c>
      <c r="S24" s="10" t="n"/>
      <c r="T24" s="10" t="inlineStr">
        <is>
          <t>mixed</t>
        </is>
      </c>
      <c r="U24" s="10" t="inlineStr">
        <is>
          <t>tidak</t>
        </is>
      </c>
      <c r="V24" s="10" t="n"/>
      <c r="W24" s="10" t="inlineStr">
        <is>
          <t>Sec. 6, Tabel 1 &amp; 2, hal. 6-8</t>
        </is>
      </c>
      <c r="X24" s="10" t="inlineStr">
        <is>
          <t>prototype_open_source</t>
        </is>
      </c>
      <c r="Y24" s="10" t="inlineStr">
        <is>
          <t>cakupan deteksi 13 kategori kerentanan pada 14 server MCP (Tabel 1 &amp; 2)</t>
        </is>
      </c>
      <c r="Z24" s="10" t="inlineStr">
        <is>
          <t>MCP-Scanner (defense_primary, L1). Evaluasi pemindaian statis AST/regex pada 14 server MCP (Tabel 2). Tabel 1 membandingkan 22 kategori kerentanan komparatif secara literatur; tidak ada eksekusi eksperimen kuantitatif terhadap perkakas lain sehingga ditolak sebagai evaluator L2. Repositori publik: https://github.com/eSentire-Labs/mcp-scanner.</t>
        </is>
      </c>
      <c r="AA24" s="11">
        <f>IF(I24="","",IF(OR(I24="attack",I24="survey_review",I24="benchmark_measurement",I24="position_other",I24="not_defense"),"n/a",IF(OR(X24="spec_normatif",X24="produksi_bukti_publik"),"L3",IF(ISNUMBER(SEARCH("independent",R24)),"L2",IF(R24="author_run","L1",IF(R24="none","L0",""))))))</f>
        <v/>
      </c>
      <c r="AB24" s="11">
        <f>IF(I24="","",IF(AND(K24="deterministic_policy",M24="ya"),"PERIKSA: deterministic_policy tetapi LLM/ML ada dalam keputusan. ","")&amp;IF(AND(U24="ya",V24=""),"PERIKSA: adaptif=ya wajib ada kutipan. ","")&amp;IF(AND(R24="none",U24&lt;&gt;"n/a_tanpa_evaluasi",U24&lt;&gt;""),"PERIKSA: tanpa evaluasi, adaptif harus n/a. ","")&amp;IF(AND(OR(R24="author_run",R24="author_run+independent",R24="independent_only"),Q24=""),"PERIKSA: isi kelas_dievaluasi. ","")&amp;IF(AND(OR(R24="author_run",R24="author_run+independent",R24="independent_only"),W24=""),"PERIKSA: isi lokasi_bukti. ","")&amp;IF(AND(H24="tidak",R24&lt;&gt;""),"PERIKSA: tanpa teks lengkap, kosongkan kolom evaluasi. ",""))</f>
        <v/>
      </c>
      <c r="AC24" t="inlineStr">
        <is>
          <t>include</t>
        </is>
      </c>
    </row>
    <row r="25" ht="393" customHeight="1" s="21">
      <c r="A25" s="8" t="inlineStr">
        <is>
          <t>pek-2026-cascade-component-ablation-corpus-audit</t>
        </is>
      </c>
      <c r="B25" s="8" t="inlineStr">
        <is>
          <t>CASCADE: A Component Ablation and Corpus Audit of a Layered Local Defense for MCP-Based Systems</t>
        </is>
      </c>
      <c r="C25" s="8" t="n">
        <v>2026</v>
      </c>
      <c r="D25" s="8" t="inlineStr">
        <is>
          <t>E2</t>
        </is>
      </c>
      <c r="E25" s="8" t="inlineStr">
        <is>
          <t>kandidat_agent</t>
        </is>
      </c>
      <c r="F25" s="8" t="inlineStr">
        <is>
          <t>primary</t>
        </is>
      </c>
      <c r="G25" s="9" t="inlineStr">
        <is>
          <t>https://arxiv.org/abs/2604.17125</t>
        </is>
      </c>
      <c r="H25" s="10" t="inlineStr">
        <is>
          <t>ya</t>
        </is>
      </c>
      <c r="I25" s="10" t="inlineStr">
        <is>
          <t>defense_primary</t>
        </is>
      </c>
      <c r="J25" s="10" t="inlineStr">
        <is>
          <t>CASCADE</t>
        </is>
      </c>
      <c r="K25" s="10" t="inlineStr">
        <is>
          <t>content_inspection_runtime</t>
        </is>
      </c>
      <c r="L25" s="10" t="inlineStr">
        <is>
          <t>Pertahanan berlapis lokal untuk sistem MCP yang memadukan filter kemiripan embedding cepat dan model review lokal Llama-3 8B untuk menangani permintaan ambigu/mencurigakan.</t>
        </is>
      </c>
      <c r="M25" s="10" t="inlineStr">
        <is>
          <t>ya</t>
        </is>
      </c>
      <c r="N25" s="10" t="inlineStr">
        <is>
          <t>H</t>
        </is>
      </c>
      <c r="O25" s="10" t="inlineStr">
        <is>
          <t>R2</t>
        </is>
      </c>
      <c r="P25" s="10" t="inlineStr">
        <is>
          <t>A1;A2</t>
        </is>
      </c>
      <c r="Q25" s="10" t="inlineStr">
        <is>
          <t>A1;A2</t>
        </is>
      </c>
      <c r="R25" s="10" t="inlineStr">
        <is>
          <t>author_run</t>
        </is>
      </c>
      <c r="S25" s="10" t="n"/>
      <c r="T25" s="10" t="inlineStr">
        <is>
          <t>mixed</t>
        </is>
      </c>
      <c r="U25" s="10" t="inlineStr">
        <is>
          <t>tidak</t>
        </is>
      </c>
      <c r="V25" s="10" t="n"/>
      <c r="W25" s="10" t="inlineStr">
        <is>
          <t>Sec 4; Sec 4.1; Sec 4.2; Table 5; Table 6; hal. 8-15</t>
        </is>
      </c>
      <c r="X25" s="10" t="inlineStr">
        <is>
          <t>none</t>
        </is>
      </c>
      <c r="Y25" s="10" t="inlineStr">
        <is>
          <t>latensi per tahap, throughput, dan tingkat pemanggilan model review (32.56%) dilaporkan (Sec 4)</t>
        </is>
      </c>
      <c r="Z25" s="10" t="inlineStr">
        <is>
          <t>Pertahanan berlapis lokal untuk sistem MCP (CASCADE) memadukan embedding filter deterministik dan model review lokal Llama-3 8B. Dievaluasi secara ketat pada 5.000 sampel korpus riil/augmentasi dengan ablasi komponen menyeluruh. Catatan deployment: prototipe internal/eksperimental (belum dirilis secara publik).</t>
        </is>
      </c>
      <c r="AA25" s="11">
        <f>IF(I25="","",IF(OR(I25="attack",I25="survey_review",I25="benchmark_measurement",I25="position_other",I25="not_defense"),"n/a",IF(OR(X25="spec_normatif",X25="produksi_bukti_publik"),"L3",IF(ISNUMBER(SEARCH("independent",R25)),"L2",IF(R25="author_run","L1",IF(R25="none","L0",""))))))</f>
        <v/>
      </c>
      <c r="AB25" s="11">
        <f>IF(I25="","",IF(AND(K25="deterministic_policy",M25="ya"),"PERIKSA: deterministic_policy tetapi LLM/ML ada dalam keputusan. ","")&amp;IF(AND(U25="ya",V25=""),"PERIKSA: adaptif=ya wajib ada kutipan. ","")&amp;IF(AND(R25="none",U25&lt;&gt;"n/a_tanpa_evaluasi",U25&lt;&gt;""),"PERIKSA: tanpa evaluasi, adaptif harus n/a. ","")&amp;IF(AND(OR(R25="author_run",R25="author_run+independent",R25="independent_only"),Q25=""),"PERIKSA: isi kelas_dievaluasi. ","")&amp;IF(AND(OR(R25="author_run",R25="author_run+independent",R25="independent_only"),W25=""),"PERIKSA: isi lokasi_bukti. ","")&amp;IF(AND(H25="tidak",R25&lt;&gt;""),"PERIKSA: tanpa teks lengkap, kosongkan kolom evaluasi. ",""))</f>
        <v/>
      </c>
      <c r="AC25" t="inlineStr">
        <is>
          <t>include</t>
        </is>
      </c>
    </row>
    <row r="26" ht="393" customHeight="1" s="21">
      <c r="A26" s="8" t="inlineStr">
        <is>
          <t>ping-2026-hybrid-analysis-secure-mcp-tool</t>
        </is>
      </c>
      <c r="B26" s="8" t="inlineStr">
        <is>
          <t>Hybrid Analysis for Secure MCP Tool Use in LLM Agents</t>
        </is>
      </c>
      <c r="C26" s="8" t="n">
        <v>2026</v>
      </c>
      <c r="D26" s="8" t="inlineStr">
        <is>
          <t>E2</t>
        </is>
      </c>
      <c r="E26" s="8" t="inlineStr">
        <is>
          <t>kandidat_agent</t>
        </is>
      </c>
      <c r="F26" s="8" t="inlineStr">
        <is>
          <t>primary</t>
        </is>
      </c>
      <c r="G26" s="9" t="inlineStr">
        <is>
          <t>https://arxiv.org/abs/2607.25297</t>
        </is>
      </c>
      <c r="H26" s="10" t="inlineStr">
        <is>
          <t>ya</t>
        </is>
      </c>
      <c r="I26" s="10" t="inlineStr">
        <is>
          <t>defense_primary</t>
        </is>
      </c>
      <c r="J26" s="10" t="inlineStr">
        <is>
          <t>MTGuard</t>
        </is>
      </c>
      <c r="K26" s="10" t="inlineStr">
        <is>
          <t>content_inspection_runtime</t>
        </is>
      </c>
      <c r="L26" s="10" t="inlineStr">
        <is>
          <t>Kerangka analisis hibrida siklus hidup (MTGuard) yang mengombinasikan asesmen risiko pra-eksekusi dan verifikasi hasil pasca-eksekusi pada pemanggilan tool MCP.</t>
        </is>
      </c>
      <c r="M26" s="10" t="inlineStr">
        <is>
          <t>ya</t>
        </is>
      </c>
      <c r="N26" s="10" t="inlineStr">
        <is>
          <t>H</t>
        </is>
      </c>
      <c r="O26" s="10" t="inlineStr">
        <is>
          <t>R2;R5</t>
        </is>
      </c>
      <c r="P26" s="10" t="inlineStr">
        <is>
          <t>A1;A2;C5</t>
        </is>
      </c>
      <c r="Q26" s="10" t="inlineStr">
        <is>
          <t>A1;A2;C5</t>
        </is>
      </c>
      <c r="R26" s="10" t="inlineStr">
        <is>
          <t>author_run</t>
        </is>
      </c>
      <c r="S26" s="10" t="n"/>
      <c r="T26" s="10" t="inlineStr">
        <is>
          <t>mixed</t>
        </is>
      </c>
      <c r="U26" s="10" t="inlineStr">
        <is>
          <t>tidak</t>
        </is>
      </c>
      <c r="V26" s="10" t="n"/>
      <c r="W26" s="10" t="inlineStr">
        <is>
          <t>Sec 5; Table 1; Table 2; Table 3; hal. 6-10</t>
        </is>
      </c>
      <c r="X26" s="10" t="inlineStr">
        <is>
          <t>none</t>
        </is>
      </c>
      <c r="Y26" s="10" t="inlineStr">
        <is>
          <t>latensi runtime dan false positive rate dilaporkan (Sec 5, Tabel 2)</t>
        </is>
      </c>
      <c r="Z26" s="10" t="inlineStr">
        <is>
          <t>Framework pertahanan analisis hibrida (MTGuard) yang mengombinasikan asesmen pra-eksekusi dan verifikasi pasca-eksekusi pemanggilan tool MCP. Dievaluasi pada agen otomatisasi peramban dan analisis finansial, mencapai rata-rata detection rate 48.3% vs baseline 8.3%. Catatan deployment: prototipe internal/eksperimental (belum dirilis secara publik).</t>
        </is>
      </c>
      <c r="AA26" s="11">
        <f>IF(I26="","",IF(OR(I26="attack",I26="survey_review",I26="benchmark_measurement",I26="position_other",I26="not_defense"),"n/a",IF(OR(X26="spec_normatif",X26="produksi_bukti_publik"),"L3",IF(ISNUMBER(SEARCH("independent",R26)),"L2",IF(R26="author_run","L1",IF(R26="none","L0",""))))))</f>
        <v/>
      </c>
      <c r="AB26" s="11">
        <f>IF(I26="","",IF(AND(K26="deterministic_policy",M26="ya"),"PERIKSA: deterministic_policy tetapi LLM/ML ada dalam keputusan. ","")&amp;IF(AND(U26="ya",V26=""),"PERIKSA: adaptif=ya wajib ada kutipan. ","")&amp;IF(AND(R26="none",U26&lt;&gt;"n/a_tanpa_evaluasi",U26&lt;&gt;""),"PERIKSA: tanpa evaluasi, adaptif harus n/a. ","")&amp;IF(AND(OR(R26="author_run",R26="author_run+independent",R26="independent_only"),Q26=""),"PERIKSA: isi kelas_dievaluasi. ","")&amp;IF(AND(OR(R26="author_run",R26="author_run+independent",R26="independent_only"),W26=""),"PERIKSA: isi lokasi_bukti. ","")&amp;IF(AND(H26="tidak",R26&lt;&gt;""),"PERIKSA: tanpa teks lengkap, kosongkan kolom evaluasi. ",""))</f>
        <v/>
      </c>
      <c r="AC26" t="inlineStr">
        <is>
          <t>include</t>
        </is>
      </c>
    </row>
    <row r="27" ht="359.25" customHeight="1" s="21">
      <c r="A27" s="8" t="inlineStr">
        <is>
          <t>samuel-2026-secure-sandbox-environment-orchestrating-medical</t>
        </is>
      </c>
      <c r="B27" s="8" t="inlineStr">
        <is>
          <t>A Secure Sandbox Environment for Orchestrating Medical AI Agents Using Model Context Protocols and Role-Based Access Control.</t>
        </is>
      </c>
      <c r="C27" s="8" t="n">
        <v>2026</v>
      </c>
      <c r="D27" s="8" t="inlineStr">
        <is>
          <t>E2</t>
        </is>
      </c>
      <c r="E27" s="8" t="inlineStr">
        <is>
          <t>kandidat_agent</t>
        </is>
      </c>
      <c r="F27" s="8" t="inlineStr">
        <is>
          <t>primary</t>
        </is>
      </c>
      <c r="G27" s="8" t="n"/>
      <c r="H27" s="10" t="inlineStr">
        <is>
          <t>ya</t>
        </is>
      </c>
      <c r="I27" s="10" t="inlineStr">
        <is>
          <t>defense_primary</t>
        </is>
      </c>
      <c r="J27" s="10" t="inlineStr">
        <is>
          <t>Secure Sandbox Environment with RBAC</t>
        </is>
      </c>
      <c r="K27" s="10" t="inlineStr">
        <is>
          <t>deterministic_policy</t>
        </is>
      </c>
      <c r="L27" s="10" t="inlineStr">
        <is>
          <t>Lingkungan sandbox yang aman dan kontrol akses berbasis peran (RBAC) untuk mengorkestrasi agen AI medis yang berkomunikasi melalui Model Context Protocol.</t>
        </is>
      </c>
      <c r="M27" s="10" t="inlineStr">
        <is>
          <t>tidak</t>
        </is>
      </c>
      <c r="N27" s="10" t="inlineStr">
        <is>
          <t>gateway_proxy</t>
        </is>
      </c>
      <c r="O27" s="10" t="inlineStr">
        <is>
          <t>R2;R4;R5;R6</t>
        </is>
      </c>
      <c r="P27" s="10" t="inlineStr">
        <is>
          <t>A2;D1;C3</t>
        </is>
      </c>
      <c r="Q27" s="10" t="inlineStr">
        <is>
          <t>A2;C3;D1</t>
        </is>
      </c>
      <c r="R27" s="10" t="inlineStr">
        <is>
          <t>author_run</t>
        </is>
      </c>
      <c r="S27" s="10" t="n"/>
      <c r="T27" s="10" t="inlineStr">
        <is>
          <t>authors_own</t>
        </is>
      </c>
      <c r="U27" s="10" t="inlineStr">
        <is>
          <t>tidak</t>
        </is>
      </c>
      <c r="V27" s="10" t="n"/>
      <c r="W27" s="10" t="inlineStr">
        <is>
          <t>Sec. Methods, Tabel 1 &amp; 2</t>
        </is>
      </c>
      <c r="X27" s="10" t="inlineStr">
        <is>
          <t>none</t>
        </is>
      </c>
      <c r="Y27" s="10" t="inlineStr">
        <is>
          <t>dilaporkan: turnaround time rata-rata 1.84s pada 1.200 kueri EHR sintetis</t>
        </is>
      </c>
      <c r="Z27" s="10" t="inlineStr">
        <is>
          <t>Secure Sandbox with RBAC (defense_primary, L1). Evaluasi empiris 1.200 kueri EHR sintetis pada Docker sandbox dengan penegakan RBAC 100%, latensi turnaround 1.84s (Tabel 1-2). Teks lengkap terbuka di PubMed Central (PMC13274365).</t>
        </is>
      </c>
      <c r="AA27" s="11">
        <f>IF(I27="","",IF(OR(I27="attack",I27="survey_review",I27="benchmark_measurement",I27="position_other",I27="not_defense"),"n/a",IF(OR(X27="spec_normatif",X27="produksi_bukti_publik"),"L3",IF(ISNUMBER(SEARCH("independent",R27)),"L2",IF(R27="author_run","L1",IF(R27="none","L0",""))))))</f>
        <v/>
      </c>
      <c r="AB27" s="11">
        <f>IF(I27="","",IF(AND(K27="deterministic_policy",M27="ya"),"PERIKSA: deterministic_policy tetapi LLM/ML ada dalam keputusan. ","")&amp;IF(AND(U27="ya",V27=""),"PERIKSA: adaptif=ya wajib ada kutipan. ","")&amp;IF(AND(R27="none",U27&lt;&gt;"n/a_tanpa_evaluasi",U27&lt;&gt;""),"PERIKSA: tanpa evaluasi, adaptif harus n/a. ","")&amp;IF(AND(OR(R27="author_run",R27="author_run+independent",R27="independent_only"),Q27=""),"PERIKSA: isi kelas_dievaluasi. ","")&amp;IF(AND(OR(R27="author_run",R27="author_run+independent",R27="independent_only"),W27=""),"PERIKSA: isi lokasi_bukti. ","")&amp;IF(AND(H27="tidak",R27&lt;&gt;""),"PERIKSA: tanpa teks lengkap, kosongkan kolom evaluasi. ",""))</f>
        <v/>
      </c>
      <c r="AC27" t="inlineStr">
        <is>
          <t>include</t>
        </is>
      </c>
    </row>
    <row r="28" ht="336.75" customHeight="1" s="21">
      <c r="A28" s="8" t="inlineStr">
        <is>
          <t>shiqiang-2025-secure-model-context-protocol-large</t>
        </is>
      </c>
      <c r="B28" s="8" t="inlineStr">
        <is>
          <t>Secure Model Context Protocol for Large Language Models with Dual Signatures</t>
        </is>
      </c>
      <c r="C28" s="8" t="n">
        <v>2025</v>
      </c>
      <c r="D28" s="8" t="inlineStr">
        <is>
          <t>E1</t>
        </is>
      </c>
      <c r="E28" s="8" t="inlineStr">
        <is>
          <t>kandidat_agent</t>
        </is>
      </c>
      <c r="F28" s="8" t="inlineStr">
        <is>
          <t>primary</t>
        </is>
      </c>
      <c r="G28" s="9" t="inlineStr">
        <is>
          <t>https://doi.org/10.1145/3737897.3767287</t>
        </is>
      </c>
      <c r="H28" s="10" t="inlineStr">
        <is>
          <t>ya</t>
        </is>
      </c>
      <c r="I28" s="10" t="inlineStr">
        <is>
          <t>defense_primary</t>
        </is>
      </c>
      <c r="J28" s="10" t="inlineStr">
        <is>
          <t>Dual Signature MCP</t>
        </is>
      </c>
      <c r="K28" s="10" t="inlineStr">
        <is>
          <t>integrity_provenance</t>
        </is>
      </c>
      <c r="L28" s="10" t="inlineStr">
        <is>
          <t>Mekanisme verifikasi tanda tangan digital ganda (developer dan platform tepercaya) pada metadata tool dan berkas server MCP untuk mencegah tampering dan tool poisoning.</t>
        </is>
      </c>
      <c r="M28" s="10" t="inlineStr">
        <is>
          <t>tidak</t>
        </is>
      </c>
      <c r="N28" s="10" t="inlineStr">
        <is>
          <t>C</t>
        </is>
      </c>
      <c r="O28" s="10" t="inlineStr">
        <is>
          <t>R1;R2;R7</t>
        </is>
      </c>
      <c r="P28" s="10" t="inlineStr">
        <is>
          <t>A1;B1;D3</t>
        </is>
      </c>
      <c r="Q28" s="10" t="inlineStr">
        <is>
          <t>A1;B1;D3</t>
        </is>
      </c>
      <c r="R28" s="10" t="inlineStr">
        <is>
          <t>author_run</t>
        </is>
      </c>
      <c r="S28" s="10" t="n"/>
      <c r="T28" s="10" t="inlineStr">
        <is>
          <t>authors_own</t>
        </is>
      </c>
      <c r="U28" s="10" t="inlineStr">
        <is>
          <t>tidak</t>
        </is>
      </c>
      <c r="V28" s="10" t="n"/>
      <c r="W28" s="10" t="inlineStr">
        <is>
          <t>Sec. 5, Tabel 1, hal. 4-5</t>
        </is>
      </c>
      <c r="X28" s="10" t="inlineStr">
        <is>
          <t>none</t>
        </is>
      </c>
      <c r="Y28" s="10" t="inlineStr">
        <is>
          <t>latensi eksekusi 28.9 ms (+2.6 ms vs standar 26.3 ms), overhead memori +1.84% (Tabel 1)</t>
        </is>
      </c>
      <c r="Z28" s="10" t="inlineStr">
        <is>
          <t>Dual Signature MCP (defense_primary, L1). Verifikasi tanda tangan ganda mencegah modifikasi kode/tampering server setelah registrasi (B1/D3) dan injeksi prompt tool Add (A1). Latensi +2.6 ms (Tabel 1).</t>
        </is>
      </c>
      <c r="AA28" s="11">
        <f>IF(I28="","",IF(OR(I28="attack",I28="survey_review",I28="benchmark_measurement",I28="position_other",I28="not_defense"),"n/a",IF(OR(X28="spec_normatif",X28="produksi_bukti_publik"),"L3",IF(ISNUMBER(SEARCH("independent",R28)),"L2",IF(R28="author_run","L1",IF(R28="none","L0",""))))))</f>
        <v/>
      </c>
      <c r="AB28" s="11">
        <f>IF(I28="","",IF(AND(K28="deterministic_policy",M28="ya"),"PERIKSA: deterministic_policy tetapi LLM/ML ada dalam keputusan. ","")&amp;IF(AND(U28="ya",V28=""),"PERIKSA: adaptif=ya wajib ada kutipan. ","")&amp;IF(AND(R28="none",U28&lt;&gt;"n/a_tanpa_evaluasi",U28&lt;&gt;""),"PERIKSA: tanpa evaluasi, adaptif harus n/a. ","")&amp;IF(AND(OR(R28="author_run",R28="author_run+independent",R28="independent_only"),Q28=""),"PERIKSA: isi kelas_dievaluasi. ","")&amp;IF(AND(OR(R28="author_run",R28="author_run+independent",R28="independent_only"),W28=""),"PERIKSA: isi lokasi_bukti. ","")&amp;IF(AND(H28="tidak",R28&lt;&gt;""),"PERIKSA: tanpa teks lengkap, kosongkan kolom evaluasi. ",""))</f>
        <v/>
      </c>
      <c r="AC28" t="inlineStr">
        <is>
          <t>include</t>
        </is>
      </c>
    </row>
    <row r="29" ht="314.25" customHeight="1" s="21">
      <c r="A29" s="8" t="inlineStr">
        <is>
          <t>shriti-2026-aegis-preventing-cross-domain-resource</t>
        </is>
      </c>
      <c r="B29" s="8" t="inlineStr">
        <is>
          <t>AEGIS: Preventing Cross-Domain Resource Abuse in MCP</t>
        </is>
      </c>
      <c r="C29" s="8" t="n">
        <v>2026</v>
      </c>
      <c r="D29" s="8" t="inlineStr">
        <is>
          <t>E2</t>
        </is>
      </c>
      <c r="E29" s="8" t="inlineStr">
        <is>
          <t>kandidat_agent</t>
        </is>
      </c>
      <c r="F29" s="8" t="inlineStr">
        <is>
          <t>primary</t>
        </is>
      </c>
      <c r="G29" s="9" t="inlineStr">
        <is>
          <t>https://arxiv.org/abs/2608.20481</t>
        </is>
      </c>
      <c r="H29" s="10" t="inlineStr">
        <is>
          <t>ya</t>
        </is>
      </c>
      <c r="I29" s="10" t="inlineStr">
        <is>
          <t>defense_primary</t>
        </is>
      </c>
      <c r="J29" s="10" t="inlineStr">
        <is>
          <t>AEGIS</t>
        </is>
      </c>
      <c r="K29" s="10" t="inlineStr">
        <is>
          <t>deterministic_policy</t>
        </is>
      </c>
      <c r="L29" s="10" t="inlineStr">
        <is>
          <t>Komponen penegakan kebijakan pada gateway AI (ContextForge + OPA) yang menormalisasi ontologi parameter tools dan membatasi pemanggilan berlebihan untuk mencegah abuse sumber daya.</t>
        </is>
      </c>
      <c r="M29" s="10" t="inlineStr">
        <is>
          <t>tidak</t>
        </is>
      </c>
      <c r="N29" s="10" t="inlineStr">
        <is>
          <t>gateway_proxy</t>
        </is>
      </c>
      <c r="O29" s="10" t="inlineStr">
        <is>
          <t>R2;R3</t>
        </is>
      </c>
      <c r="P29" s="10" t="inlineStr">
        <is>
          <t>OUT_OF_TAXONOMY:resource_abuse</t>
        </is>
      </c>
      <c r="Q29" s="10" t="inlineStr">
        <is>
          <t>OUT_OF_TAXONOMY:resource_abuse</t>
        </is>
      </c>
      <c r="R29" s="10" t="inlineStr">
        <is>
          <t>author_run</t>
        </is>
      </c>
      <c r="S29" s="10" t="n"/>
      <c r="T29" s="10" t="inlineStr">
        <is>
          <t>authors_own</t>
        </is>
      </c>
      <c r="U29" s="10" t="inlineStr">
        <is>
          <t>tidak</t>
        </is>
      </c>
      <c r="V29" s="10" t="n"/>
      <c r="W29" s="10" t="inlineStr">
        <is>
          <t>Sec. VII-C, Tabel III, hal. 5</t>
        </is>
      </c>
      <c r="X29" s="10" t="inlineStr">
        <is>
          <t>none</t>
        </is>
      </c>
      <c r="Y29" s="10" t="inlineStr">
        <is>
          <t>Throughput 30.03 req/s vs 1.34; p95 latency 2863 ms vs 15562 ms; mem max 387.7 MB; waktu 4.17s</t>
        </is>
      </c>
      <c r="Z29" s="10" t="inlineStr">
        <is>
          <t>AEGIS: Preventing Cross-Domain Resource Abuse in MCP (defense_primary, L1). Menggunakan ontologi tool dan ambang batas OPA untuk mencegah eksploitasi dan konsumsi sumber daya berlebih lintas server/modalitas (RQ2). Kode internal IBM mcp-context-forge. Catatan deployment: prototipe internal/eksperimental (belum dirilis secara publik).</t>
        </is>
      </c>
      <c r="AA29" s="11">
        <f>IF(I29="","",IF(OR(I29="attack",I29="survey_review",I29="benchmark_measurement",I29="position_other",I29="not_defense"),"n/a",IF(OR(X29="spec_normatif",X29="produksi_bukti_publik"),"L3",IF(ISNUMBER(SEARCH("independent",R29)),"L2",IF(R29="author_run","L1",IF(R29="none","L0",""))))))</f>
        <v/>
      </c>
      <c r="AB29" s="11">
        <f>IF(I29="","",IF(AND(K29="deterministic_policy",M29="ya"),"PERIKSA: deterministic_policy tetapi LLM/ML ada dalam keputusan. ","")&amp;IF(AND(U29="ya",V29=""),"PERIKSA: adaptif=ya wajib ada kutipan. ","")&amp;IF(AND(R29="none",U29&lt;&gt;"n/a_tanpa_evaluasi",U29&lt;&gt;""),"PERIKSA: tanpa evaluasi, adaptif harus n/a. ","")&amp;IF(AND(OR(R29="author_run",R29="author_run+independent",R29="independent_only"),Q29=""),"PERIKSA: isi kelas_dievaluasi. ","")&amp;IF(AND(OR(R29="author_run",R29="author_run+independent",R29="independent_only"),W29=""),"PERIKSA: isi lokasi_bukti. ","")&amp;IF(AND(H29="tidak",R29&lt;&gt;""),"PERIKSA: tanpa teks lengkap, kosongkan kolom evaluasi. ",""))</f>
        <v/>
      </c>
      <c r="AC29" t="inlineStr">
        <is>
          <t>include</t>
        </is>
      </c>
    </row>
    <row r="30" ht="336.75" customHeight="1" s="21">
      <c r="A30" s="8" t="inlineStr">
        <is>
          <t>suraj-2026-gateway-architecture-enterprise-mcp-authentication</t>
        </is>
      </c>
      <c r="B30" s="8" t="inlineStr">
        <is>
          <t>A Gateway Architecture for Enterprise MCP Authentication: Unifying Heterogeneous Auth, Identity Delegation, and the User / Non-User Persona Problem</t>
        </is>
      </c>
      <c r="C30" s="8" t="n">
        <v>2026</v>
      </c>
      <c r="D30" s="8" t="inlineStr">
        <is>
          <t>E2</t>
        </is>
      </c>
      <c r="E30" s="8" t="inlineStr">
        <is>
          <t>kandidat_agent</t>
        </is>
      </c>
      <c r="F30" s="8" t="inlineStr">
        <is>
          <t>primary</t>
        </is>
      </c>
      <c r="G30" s="9" t="inlineStr">
        <is>
          <t>https://arxiv.org/abs/2608.10760</t>
        </is>
      </c>
      <c r="H30" s="10" t="inlineStr">
        <is>
          <t>ya</t>
        </is>
      </c>
      <c r="I30" s="10" t="inlineStr">
        <is>
          <t>proposal_only</t>
        </is>
      </c>
      <c r="J30" s="10" t="inlineStr">
        <is>
          <t>Enterprise MCP Authentication Gateway</t>
        </is>
      </c>
      <c r="K30" s="10" t="inlineStr">
        <is>
          <t>deterministic_policy</t>
        </is>
      </c>
      <c r="L30" s="10" t="inlineStr">
        <is>
          <t>Arsitektur gateway terpusat yang menerapkan model autentikasi dua sumbu (persona x kredensial), delegasi identitas OAuth/SSO, dan pengecekan akses service-account untuk mencegah confused deputy pada MCP enterprise.</t>
        </is>
      </c>
      <c r="M30" s="10" t="inlineStr">
        <is>
          <t>tidak</t>
        </is>
      </c>
      <c r="N30" s="10" t="inlineStr">
        <is>
          <t>gateway_proxy</t>
        </is>
      </c>
      <c r="O30" s="10" t="inlineStr">
        <is>
          <t>R1;R2;R3</t>
        </is>
      </c>
      <c r="P30" s="10" t="inlineStr">
        <is>
          <t>C1;C3;A3</t>
        </is>
      </c>
      <c r="Q30" s="10" t="n"/>
      <c r="R30" s="10" t="inlineStr">
        <is>
          <t>none</t>
        </is>
      </c>
      <c r="S30" s="10" t="n"/>
      <c r="T30" s="10" t="inlineStr">
        <is>
          <t>none</t>
        </is>
      </c>
      <c r="U30" s="10" t="inlineStr">
        <is>
          <t>n/a_tanpa_evaluasi</t>
        </is>
      </c>
      <c r="V30" s="10" t="n"/>
      <c r="W30" s="10" t="inlineStr">
        <is>
          <t>Sec. 4-7, hal. 3-8</t>
        </is>
      </c>
      <c r="X30" s="10" t="inlineStr">
        <is>
          <t>none</t>
        </is>
      </c>
      <c r="Y30" s="10" t="inlineStr">
        <is>
          <t>not_reported</t>
        </is>
      </c>
      <c r="Z30" s="10" t="inlineStr">
        <is>
          <t>Makalah industry track (arXiv:2608.10760) mendokumentasikan arsitektur gateway autentikasi MCP di lingkungan internal PayPal. Tanpa evaluasi empiris pertahanan terhadap dataset serangan, dan tanpa dokumentasi rilis produk publik bertanggal mandiri, sehingga deployment dikode none (L0).</t>
        </is>
      </c>
      <c r="AA30" s="11">
        <f>IF(I30="","",IF(OR(I30="attack",I30="survey_review",I30="benchmark_measurement",I30="position_other",I30="not_defense"),"n/a",IF(OR(X30="spec_normatif",X30="produksi_bukti_publik"),"L3",IF(ISNUMBER(SEARCH("independent",R30)),"L2",IF(R30="author_run","L1",IF(R30="none","L0",""))))))</f>
        <v/>
      </c>
      <c r="AB30" s="11">
        <f>IF(I30="","",IF(AND(K30="deterministic_policy",M30="ya"),"PERIKSA: deterministic_policy tetapi LLM/ML ada dalam keputusan. ","")&amp;IF(AND(U30="ya",V30=""),"PERIKSA: adaptif=ya wajib ada kutipan. ","")&amp;IF(AND(R30="none",U30&lt;&gt;"n/a_tanpa_evaluasi",U30&lt;&gt;""),"PERIKSA: tanpa evaluasi, adaptif harus n/a. ","")&amp;IF(AND(OR(R30="author_run",R30="author_run+independent",R30="independent_only"),Q30=""),"PERIKSA: isi kelas_dievaluasi. ","")&amp;IF(AND(OR(R30="author_run",R30="author_run+independent",R30="independent_only"),W30=""),"PERIKSA: isi lokasi_bukti. ","")&amp;IF(AND(H30="tidak",R30&lt;&gt;""),"PERIKSA: tanpa teks lengkap, kosongkan kolom evaluasi. ",""))</f>
        <v/>
      </c>
      <c r="AC30" t="inlineStr">
        <is>
          <t>include</t>
        </is>
      </c>
    </row>
    <row r="31" ht="270" customHeight="1" s="21">
      <c r="A31" s="8" t="inlineStr">
        <is>
          <t>tobias-2026-machine-learning-based-detection-mcp</t>
        </is>
      </c>
      <c r="B31" s="8" t="inlineStr">
        <is>
          <t>Machine Learning-Based Detection of MCP Attacks</t>
        </is>
      </c>
      <c r="C31" s="8" t="n">
        <v>2026</v>
      </c>
      <c r="D31" s="8" t="inlineStr">
        <is>
          <t>E2</t>
        </is>
      </c>
      <c r="E31" s="8" t="inlineStr">
        <is>
          <t>kandidat_agent</t>
        </is>
      </c>
      <c r="F31" s="8" t="inlineStr">
        <is>
          <t>primary</t>
        </is>
      </c>
      <c r="G31" s="9" t="inlineStr">
        <is>
          <t>https://arxiv.org/abs/2604.10534</t>
        </is>
      </c>
      <c r="H31" s="10" t="inlineStr">
        <is>
          <t>ya</t>
        </is>
      </c>
      <c r="I31" s="10" t="inlineStr">
        <is>
          <t>defense_primary</t>
        </is>
      </c>
      <c r="J31" s="10" t="inlineStr">
        <is>
          <t>MCP ML-Based Attack Detector</t>
        </is>
      </c>
      <c r="K31" s="10" t="inlineStr">
        <is>
          <t>content_inspection_runtime</t>
        </is>
      </c>
      <c r="L31" s="10" t="inlineStr">
        <is>
          <t>Middleware deteksi berbasis machine learning terawasi (BERT, BiLSTM, SVC) yang menginspeksi deskripsi tool MCP sebelum eksekusi untuk mengidentifikasi dan memblokir tool poisoning.</t>
        </is>
      </c>
      <c r="M31" s="10" t="inlineStr">
        <is>
          <t>tidak</t>
        </is>
      </c>
      <c r="N31" s="10" t="inlineStr">
        <is>
          <t>gateway_proxy</t>
        </is>
      </c>
      <c r="O31" s="10" t="inlineStr">
        <is>
          <t>R2;R3</t>
        </is>
      </c>
      <c r="P31" s="10" t="inlineStr">
        <is>
          <t>A1;B1</t>
        </is>
      </c>
      <c r="Q31" s="10" t="inlineStr">
        <is>
          <t>A1</t>
        </is>
      </c>
      <c r="R31" s="10" t="inlineStr">
        <is>
          <t>author_run</t>
        </is>
      </c>
      <c r="S31" s="10" t="n"/>
      <c r="T31" s="10" t="inlineStr">
        <is>
          <t>third_party_public</t>
        </is>
      </c>
      <c r="U31" s="10" t="inlineStr">
        <is>
          <t>tidak</t>
        </is>
      </c>
      <c r="V31" s="10" t="n"/>
      <c r="W31" s="10" t="inlineStr">
        <is>
          <t>Sec. 4, Tabel 4, hal. 7-10</t>
        </is>
      </c>
      <c r="X31" s="10" t="inlineStr">
        <is>
          <t>none</t>
        </is>
      </c>
      <c r="Y31" s="10" t="inlineStr">
        <is>
          <t>Confusion matrix, F1 100% biner, multiclass SVC 90.56% dan BERT 88.33%</t>
        </is>
      </c>
      <c r="Z31" s="10" t="inlineStr">
        <is>
          <t>KODER 1 menandai teks lengkap. Model supervised ML (SVC, BERT, BiLSTM) dievaluasi pada dataset publik MCP-Tox; tanpa pengujian penyerang adaptif. Catatan deployment: prototipe internal/eksperimental (belum dirilis secara publik).</t>
        </is>
      </c>
      <c r="AA31" s="11">
        <f>IF(I31="","",IF(OR(I31="attack",I31="survey_review",I31="benchmark_measurement",I31="position_other",I31="not_defense"),"n/a",IF(OR(X31="spec_normatif",X31="produksi_bukti_publik"),"L3",IF(ISNUMBER(SEARCH("independent",R31)),"L2",IF(R31="author_run","L1",IF(R31="none","L0",""))))))</f>
        <v/>
      </c>
      <c r="AB31" s="11">
        <f>IF(I31="","",IF(AND(K31="deterministic_policy",M31="ya"),"PERIKSA: deterministic_policy tetapi LLM/ML ada dalam keputusan. ","")&amp;IF(AND(U31="ya",V31=""),"PERIKSA: adaptif=ya wajib ada kutipan. ","")&amp;IF(AND(R31="none",U31&lt;&gt;"n/a_tanpa_evaluasi",U31&lt;&gt;""),"PERIKSA: tanpa evaluasi, adaptif harus n/a. ","")&amp;IF(AND(OR(R31="author_run",R31="author_run+independent",R31="independent_only"),Q31=""),"PERIKSA: isi kelas_dievaluasi. ","")&amp;IF(AND(OR(R31="author_run",R31="author_run+independent",R31="independent_only"),W31=""),"PERIKSA: isi lokasi_bukti. ","")&amp;IF(AND(H31="tidak",R31&lt;&gt;""),"PERIKSA: tanpa teks lengkap, kosongkan kolom evaluasi. ",""))</f>
        <v/>
      </c>
      <c r="AC31" t="inlineStr">
        <is>
          <t>include</t>
        </is>
      </c>
    </row>
    <row r="32" ht="325.5" customHeight="1" s="21">
      <c r="A32" s="8" t="inlineStr">
        <is>
          <t>wenpeng-2025-mcp-guard-multi-stage-defense</t>
        </is>
      </c>
      <c r="B32" s="8" t="inlineStr">
        <is>
          <t>MCP-Guard: A Multi-Stage Defense-in-Depth Framework for Securing Model Context Protocol in Agentic AI</t>
        </is>
      </c>
      <c r="C32" s="8" t="n">
        <v>2025</v>
      </c>
      <c r="D32" s="8" t="inlineStr">
        <is>
          <t>E1</t>
        </is>
      </c>
      <c r="E32" s="8" t="inlineStr">
        <is>
          <t>kandidat_agent</t>
        </is>
      </c>
      <c r="F32" s="8" t="inlineStr">
        <is>
          <t>primary</t>
        </is>
      </c>
      <c r="G32" s="9" t="inlineStr">
        <is>
          <t>https://arxiv.org/abs/2508.10991</t>
        </is>
      </c>
      <c r="H32" s="10" t="inlineStr">
        <is>
          <t>ya</t>
        </is>
      </c>
      <c r="I32" s="10" t="inlineStr">
        <is>
          <t>defense_primary</t>
        </is>
      </c>
      <c r="J32" s="10" t="inlineStr">
        <is>
          <t>MCP-GUARD</t>
        </is>
      </c>
      <c r="K32" s="10" t="inlineStr">
        <is>
          <t>content_inspection_static</t>
        </is>
      </c>
      <c r="L32" s="10" t="inlineStr">
        <is>
          <t>Middleware keamanan tiga tahap yang menggabungkan filter sintaksis WAF (Tahap I), detektor neural berbasis embedding E5 ter-fine-tune (Tahap II), dan arbiter LLM (Tahap III) untuk mendeteksi payload berbahaya pada MCP.</t>
        </is>
      </c>
      <c r="M32" s="10" t="inlineStr">
        <is>
          <t>ya</t>
        </is>
      </c>
      <c r="N32" s="10" t="inlineStr">
        <is>
          <t>gateway_proxy</t>
        </is>
      </c>
      <c r="O32" s="10" t="inlineStr">
        <is>
          <t>R2;R6;R7</t>
        </is>
      </c>
      <c r="P32" s="10" t="inlineStr">
        <is>
          <t>A1;A2;B1;B2;D1</t>
        </is>
      </c>
      <c r="Q32" s="10" t="inlineStr">
        <is>
          <t>A1;A2;B1;B2</t>
        </is>
      </c>
      <c r="R32" s="10" t="inlineStr">
        <is>
          <t>author_run</t>
        </is>
      </c>
      <c r="S32" s="10" t="n"/>
      <c r="T32" s="10" t="inlineStr">
        <is>
          <t>mixed</t>
        </is>
      </c>
      <c r="U32" s="10" t="inlineStr">
        <is>
          <t>tidak</t>
        </is>
      </c>
      <c r="V32" s="10" t="n"/>
      <c r="W32" s="10" t="inlineStr">
        <is>
          <t>Sec. 5, Tabel 4 &amp; 5, Gambar 3, hal. 6-8</t>
        </is>
      </c>
      <c r="X32" s="10" t="inlineStr">
        <is>
          <t>none</t>
        </is>
      </c>
      <c r="Y32" s="10" t="inlineStr">
        <is>
          <t>Runtime latency log scale: S1 ~1.2ms, S2 ~42ms, end-to-end pipeline ~120-250ms vs standalone LLM &gt;10,000ms; F1-score 96.01%</t>
        </is>
      </c>
      <c r="Z32" s="10" t="inlineStr">
        <is>
          <t>KODER 1 menandai teks lengkap. Pipeline 3-tahap (WAF regex, E5 dense neural embedding, LLM arbitrator). Menggunakan LLM dalam keputusan akhir pada sampel ambigu (P(y|x) ~ 0.5). Catatan deployment: prototipe internal/eksperimental (belum dirilis secara publik).</t>
        </is>
      </c>
      <c r="AA32" s="11">
        <f>IF(I32="","",IF(OR(I32="attack",I32="survey_review",I32="benchmark_measurement",I32="position_other",I32="not_defense"),"n/a",IF(OR(X32="spec_normatif",X32="produksi_bukti_publik"),"L3",IF(ISNUMBER(SEARCH("independent",R32)),"L2",IF(R32="author_run","L1",IF(R32="none","L0",""))))))</f>
        <v/>
      </c>
      <c r="AB32" s="11">
        <f>IF(I32="","",IF(AND(K32="deterministic_policy",M32="ya"),"PERIKSA: deterministic_policy tetapi LLM/ML ada dalam keputusan. ","")&amp;IF(AND(U32="ya",V32=""),"PERIKSA: adaptif=ya wajib ada kutipan. ","")&amp;IF(AND(R32="none",U32&lt;&gt;"n/a_tanpa_evaluasi",U32&lt;&gt;""),"PERIKSA: tanpa evaluasi, adaptif harus n/a. ","")&amp;IF(AND(OR(R32="author_run",R32="author_run+independent",R32="independent_only"),Q32=""),"PERIKSA: isi kelas_dievaluasi. ","")&amp;IF(AND(OR(R32="author_run",R32="author_run+independent",R32="independent_only"),W32=""),"PERIKSA: isi lokasi_bukti. ","")&amp;IF(AND(H32="tidak",R32&lt;&gt;""),"PERIKSA: tanpa teks lengkap, kosongkan kolom evaluasi. ",""))</f>
        <v/>
      </c>
      <c r="AC32" t="inlineStr">
        <is>
          <t>include</t>
        </is>
      </c>
    </row>
    <row r="33" ht="325.5" customHeight="1" s="21">
      <c r="A33" s="8" t="inlineStr">
        <is>
          <t>wonbae-2026-securemcp-policy-enforced-llm-data</t>
        </is>
      </c>
      <c r="B33" s="8" t="inlineStr">
        <is>
          <t>SecureMCP: A Policy-Enforced LLM Data Access Framework for AIoT Systems via Model Context Protocol</t>
        </is>
      </c>
      <c r="C33" s="8" t="n">
        <v>2026</v>
      </c>
      <c r="D33" s="8" t="inlineStr">
        <is>
          <t>E2</t>
        </is>
      </c>
      <c r="E33" s="8" t="inlineStr">
        <is>
          <t>kandidat_agent</t>
        </is>
      </c>
      <c r="F33" s="8" t="inlineStr">
        <is>
          <t>primary</t>
        </is>
      </c>
      <c r="G33" s="9" t="inlineStr">
        <is>
          <t>https://arxiv.org/abs/2605.05260</t>
        </is>
      </c>
      <c r="H33" s="10" t="inlineStr">
        <is>
          <t>ya</t>
        </is>
      </c>
      <c r="I33" s="10" t="inlineStr">
        <is>
          <t>defense_primary</t>
        </is>
      </c>
      <c r="J33" s="10" t="inlineStr">
        <is>
          <t>SecureMCP</t>
        </is>
      </c>
      <c r="K33" s="10" t="inlineStr">
        <is>
          <t>deterministic_policy</t>
        </is>
      </c>
      <c r="L33" s="10" t="inlineStr">
        <is>
          <t>Kerangka kerja multi-lapis yang mengintegrasikan mesin RBAC (check_policy), cost gate EXPLAIN MySQL, SQL Interceptor, Risk Level Filter, dan isolasi DB untuk memblokir injeksi dan operasi ilegal pada pipeline NL2SQL MCP.</t>
        </is>
      </c>
      <c r="M33" s="10" t="inlineStr">
        <is>
          <t>tidak</t>
        </is>
      </c>
      <c r="N33" s="10" t="inlineStr">
        <is>
          <t>gateway_proxy</t>
        </is>
      </c>
      <c r="O33" s="10" t="inlineStr">
        <is>
          <t>R2;R3</t>
        </is>
      </c>
      <c r="P33" s="10" t="inlineStr">
        <is>
          <t>B1;C1;C2;A2</t>
        </is>
      </c>
      <c r="Q33" s="10" t="inlineStr">
        <is>
          <t>B1;C1;C2;A2</t>
        </is>
      </c>
      <c r="R33" s="10" t="inlineStr">
        <is>
          <t>author_run</t>
        </is>
      </c>
      <c r="S33" s="10" t="n"/>
      <c r="T33" s="10" t="inlineStr">
        <is>
          <t>mixed</t>
        </is>
      </c>
      <c r="U33" s="10" t="inlineStr">
        <is>
          <t>tidak</t>
        </is>
      </c>
      <c r="V33" s="10" t="n"/>
      <c r="W33" s="10" t="inlineStr">
        <is>
          <t>Sec. 4 &amp; 5, Tabel 1, 5, 6, hal. 6-12</t>
        </is>
      </c>
      <c r="X33" s="10" t="inlineStr">
        <is>
          <t>prototype_open_source</t>
        </is>
      </c>
      <c r="Y33" s="10" t="inlineStr">
        <is>
          <t>EX-in-ALLOW 65.1%-76.4% vs baseline 63.8%; low operational overhead relatif terhadap inferensi LLM; policy compliance 82.3%</t>
        </is>
      </c>
      <c r="Z33" s="10" t="inlineStr">
        <is>
          <t>KODER 1 menandai teks lengkap. Pipeline 5 modul (RBAC check_policy, EXPLAIN cost gate, SQL interceptor, risk level filter, DB isolation). Tanpa pengujian penyerang adaptif. Repositori/artefak: https://zenodo.org/records/15000588.</t>
        </is>
      </c>
      <c r="AA33" s="11">
        <f>IF(I33="","",IF(OR(I33="attack",I33="survey_review",I33="benchmark_measurement",I33="position_other",I33="not_defense"),"n/a",IF(OR(X33="spec_normatif",X33="produksi_bukti_publik"),"L3",IF(ISNUMBER(SEARCH("independent",R33)),"L2",IF(R33="author_run","L1",IF(R33="none","L0",""))))))</f>
        <v/>
      </c>
      <c r="AB33" s="11">
        <f>IF(I33="","",IF(AND(K33="deterministic_policy",M33="ya"),"PERIKSA: deterministic_policy tetapi LLM/ML ada dalam keputusan. ","")&amp;IF(AND(U33="ya",V33=""),"PERIKSA: adaptif=ya wajib ada kutipan. ","")&amp;IF(AND(R33="none",U33&lt;&gt;"n/a_tanpa_evaluasi",U33&lt;&gt;""),"PERIKSA: tanpa evaluasi, adaptif harus n/a. ","")&amp;IF(AND(OR(R33="author_run",R33="author_run+independent",R33="independent_only"),Q33=""),"PERIKSA: isi kelas_dievaluasi. ","")&amp;IF(AND(OR(R33="author_run",R33="author_run+independent",R33="independent_only"),W33=""),"PERIKSA: isi lokasi_bukti. ","")&amp;IF(AND(H33="tidak",R33&lt;&gt;""),"PERIKSA: tanpa teks lengkap, kosongkan kolom evaluasi. ",""))</f>
        <v/>
      </c>
      <c r="AC33" t="inlineStr">
        <is>
          <t>include</t>
        </is>
      </c>
    </row>
    <row r="34" ht="314.25" customHeight="1" s="21">
      <c r="A34" s="8" t="inlineStr">
        <is>
          <t>xinyi-2026-smcp-secure-model-context-protocol</t>
        </is>
      </c>
      <c r="B34" s="8" t="inlineStr">
        <is>
          <t>SMCP: Secure Model Context Protocol</t>
        </is>
      </c>
      <c r="C34" s="8" t="n">
        <v>2026</v>
      </c>
      <c r="D34" s="8" t="inlineStr">
        <is>
          <t>E2</t>
        </is>
      </c>
      <c r="E34" s="8" t="inlineStr">
        <is>
          <t>kandidat_agent</t>
        </is>
      </c>
      <c r="F34" s="8" t="inlineStr">
        <is>
          <t>primary</t>
        </is>
      </c>
      <c r="G34" s="9" t="inlineStr">
        <is>
          <t>https://arxiv.org/abs/2602.01129</t>
        </is>
      </c>
      <c r="H34" s="10" t="inlineStr">
        <is>
          <t>ya</t>
        </is>
      </c>
      <c r="I34" s="10" t="inlineStr">
        <is>
          <t>proposal_only</t>
        </is>
      </c>
      <c r="J34" s="10" t="inlineStr">
        <is>
          <t>SMCP (Secure Model Context Protocol)</t>
        </is>
      </c>
      <c r="K34" s="10" t="inlineStr">
        <is>
          <t>protocol_provision</t>
        </is>
      </c>
      <c r="L34" s="10" t="inlineStr">
        <is>
          <t>Ekstensi protokol tingkat sistem yang mengintegrasikan manajemen identitas terpadu, autentikasi mutual, propagasi konteks keamanan berkelanjutan, dan penegakan kebijakan granular untuk mengamankan alur kerja MCP.</t>
        </is>
      </c>
      <c r="M34" s="10" t="inlineStr">
        <is>
          <t>tidak</t>
        </is>
      </c>
      <c r="N34" s="10" t="inlineStr">
        <is>
          <t>gateway_proxy</t>
        </is>
      </c>
      <c r="O34" s="10" t="inlineStr">
        <is>
          <t>R1;R2;R3;R4;R5;R6;R7</t>
        </is>
      </c>
      <c r="P34" s="10" t="inlineStr">
        <is>
          <t>A1;B1;C1;C3;D3</t>
        </is>
      </c>
      <c r="Q34" s="10" t="n"/>
      <c r="R34" s="10" t="inlineStr">
        <is>
          <t>none</t>
        </is>
      </c>
      <c r="S34" s="10" t="n"/>
      <c r="T34" s="10" t="inlineStr">
        <is>
          <t>none</t>
        </is>
      </c>
      <c r="U34" s="10" t="inlineStr">
        <is>
          <t>n/a_tanpa_evaluasi</t>
        </is>
      </c>
      <c r="V34" s="10" t="n"/>
      <c r="W34" s="10" t="inlineStr">
        <is>
          <t>Sec. 4 &amp; 5, hal. 7-20</t>
        </is>
      </c>
      <c r="X34" s="10" t="inlineStr">
        <is>
          <t>none</t>
        </is>
      </c>
      <c r="Y34" s="10" t="inlineStr">
        <is>
          <t>not_reported</t>
        </is>
      </c>
      <c r="Z34" s="10" t="inlineStr">
        <is>
          <t>Makalah desain dan spesifikasi ekstensi protokol komprehensif (SMCP) tanpa evaluasi empiris pertahanan terhadap dataset serangan. KODER 1 menandai teks lengkap.</t>
        </is>
      </c>
      <c r="AA34" s="11">
        <f>IF(I34="","",IF(OR(I34="attack",I34="survey_review",I34="benchmark_measurement",I34="position_other",I34="not_defense"),"n/a",IF(OR(X34="spec_normatif",X34="produksi_bukti_publik"),"L3",IF(ISNUMBER(SEARCH("independent",R34)),"L2",IF(R34="author_run","L1",IF(R34="none","L0",""))))))</f>
        <v/>
      </c>
      <c r="AB34" s="11">
        <f>IF(I34="","",IF(AND(K34="deterministic_policy",M34="ya"),"PERIKSA: deterministic_policy tetapi LLM/ML ada dalam keputusan. ","")&amp;IF(AND(U34="ya",V34=""),"PERIKSA: adaptif=ya wajib ada kutipan. ","")&amp;IF(AND(R34="none",U34&lt;&gt;"n/a_tanpa_evaluasi",U34&lt;&gt;""),"PERIKSA: tanpa evaluasi, adaptif harus n/a. ","")&amp;IF(AND(OR(R34="author_run",R34="author_run+independent",R34="independent_only"),Q34=""),"PERIKSA: isi kelas_dievaluasi. ","")&amp;IF(AND(OR(R34="author_run",R34="author_run+independent",R34="independent_only"),W34=""),"PERIKSA: isi lokasi_bukti. ","")&amp;IF(AND(H34="tidak",R34&lt;&gt;""),"PERIKSA: tanpa teks lengkap, kosongkan kolom evaluasi. ",""))</f>
        <v/>
      </c>
      <c r="AC34" t="inlineStr">
        <is>
          <t>include</t>
        </is>
      </c>
    </row>
    <row r="35" ht="314.25" customHeight="1" s="21">
      <c r="A35" s="8" t="inlineStr">
        <is>
          <t>yang-2026-mitigating-taint-style-vulnerabilities-mcp</t>
        </is>
      </c>
      <c r="B35" s="8" t="inlineStr">
        <is>
          <t>Mitigating Taint-Style Vulnerabilities in MCP Servers via Security-Aware Tool Descriptions</t>
        </is>
      </c>
      <c r="C35" s="8" t="n">
        <v>2026</v>
      </c>
      <c r="D35" s="8" t="inlineStr">
        <is>
          <t>E2</t>
        </is>
      </c>
      <c r="E35" s="8" t="inlineStr">
        <is>
          <t>kandidat_agent</t>
        </is>
      </c>
      <c r="F35" s="8" t="inlineStr">
        <is>
          <t>primary</t>
        </is>
      </c>
      <c r="G35" s="9" t="inlineStr">
        <is>
          <t>https://arxiv.org/abs/2607.07461</t>
        </is>
      </c>
      <c r="H35" s="10" t="inlineStr">
        <is>
          <t>ya</t>
        </is>
      </c>
      <c r="I35" s="10" t="inlineStr">
        <is>
          <t>defense_primary</t>
        </is>
      </c>
      <c r="J35" s="10" t="inlineStr">
        <is>
          <t>SPELLSMITH</t>
        </is>
      </c>
      <c r="K35" s="10" t="inlineStr">
        <is>
          <t>content_inspection_static</t>
        </is>
      </c>
      <c r="L35" s="10" t="inlineStr">
        <is>
          <t>Mekanisme mitigasi berbasis teks yang memperkaya deskripsi alat MCP dengan batasan keamanan perilaku dan menggunakan modul refleksi mandiri LLM untuk mencegah eksploitasi kerentanan taint-style.</t>
        </is>
      </c>
      <c r="M35" s="10" t="inlineStr">
        <is>
          <t>ya</t>
        </is>
      </c>
      <c r="N35" s="10" t="inlineStr">
        <is>
          <t>C</t>
        </is>
      </c>
      <c r="O35" s="10" t="inlineStr">
        <is>
          <t>R2;R5;R7</t>
        </is>
      </c>
      <c r="P35" s="10" t="inlineStr">
        <is>
          <t>A1;B1;C5</t>
        </is>
      </c>
      <c r="Q35" s="10" t="inlineStr">
        <is>
          <t>B1;C5</t>
        </is>
      </c>
      <c r="R35" s="10" t="inlineStr">
        <is>
          <t>author_run</t>
        </is>
      </c>
      <c r="S35" s="10" t="n"/>
      <c r="T35" s="10" t="inlineStr">
        <is>
          <t>mixed</t>
        </is>
      </c>
      <c r="U35" s="10" t="inlineStr">
        <is>
          <t>tidak</t>
        </is>
      </c>
      <c r="V35" s="10" t="n"/>
      <c r="W35" s="10" t="inlineStr">
        <is>
          <t>Sec. 6, Tabel 6 &amp; 7, hal. 8-11</t>
        </is>
      </c>
      <c r="X35" s="10" t="inlineStr">
        <is>
          <t>none</t>
        </is>
      </c>
      <c r="Y35" s="10" t="inlineStr">
        <is>
          <t>ASR menurun dari 80.8% menjadi 1.5% (post-reflection); overhead komputasi inferensi refleksi tambahan</t>
        </is>
      </c>
      <c r="Z35" s="10" t="inlineStr">
        <is>
          <t>KODER 1 menandai teks lengkap. SPELLSMITH memanfaatkan augmentasi deskripsi alat dan refleksi mandiri LLM (GPT-4o) untuk memitigasi kerentanan taint-style pada alat MCP. Catatan deployment: prototipe internal/eksperimental (belum dirilis secara publik).</t>
        </is>
      </c>
      <c r="AA35" s="11">
        <f>IF(I35="","",IF(OR(I35="attack",I35="survey_review",I35="benchmark_measurement",I35="position_other",I35="not_defense"),"n/a",IF(OR(X35="spec_normatif",X35="produksi_bukti_publik"),"L3",IF(ISNUMBER(SEARCH("independent",R35)),"L2",IF(R35="author_run","L1",IF(R35="none","L0",""))))))</f>
        <v/>
      </c>
      <c r="AB35" s="11">
        <f>IF(I35="","",IF(AND(K35="deterministic_policy",M35="ya"),"PERIKSA: deterministic_policy tetapi LLM/ML ada dalam keputusan. ","")&amp;IF(AND(U35="ya",V35=""),"PERIKSA: adaptif=ya wajib ada kutipan. ","")&amp;IF(AND(R35="none",U35&lt;&gt;"n/a_tanpa_evaluasi",U35&lt;&gt;""),"PERIKSA: tanpa evaluasi, adaptif harus n/a. ","")&amp;IF(AND(OR(R35="author_run",R35="author_run+independent",R35="independent_only"),Q35=""),"PERIKSA: isi kelas_dievaluasi. ","")&amp;IF(AND(OR(R35="author_run",R35="author_run+independent",R35="independent_only"),W35=""),"PERIKSA: isi lokasi_bukti. ","")&amp;IF(AND(H35="tidak",R35&lt;&gt;""),"PERIKSA: tanpa teks lengkap, kosongkan kolom evaluasi. ",""))</f>
        <v/>
      </c>
      <c r="AC35" t="inlineStr">
        <is>
          <t>include</t>
        </is>
      </c>
    </row>
    <row r="36" ht="314.25" customHeight="1" s="21">
      <c r="A36" s="8" t="inlineStr">
        <is>
          <t>yiheng-2026-component-manipulation-system-compromise-understanding</t>
        </is>
      </c>
      <c r="B36" s="8" t="inlineStr">
        <is>
          <t>From Component Manipulation to System Compromise: Understanding and Detecting Malicious MCP Servers</t>
        </is>
      </c>
      <c r="C36" s="8" t="n">
        <v>2026</v>
      </c>
      <c r="D36" s="8" t="inlineStr">
        <is>
          <t>E2</t>
        </is>
      </c>
      <c r="E36" s="8" t="inlineStr">
        <is>
          <t>kandidat_agent</t>
        </is>
      </c>
      <c r="F36" s="8" t="inlineStr">
        <is>
          <t>primary</t>
        </is>
      </c>
      <c r="G36" s="9" t="inlineStr">
        <is>
          <t>https://arxiv.org/abs/2604.01905</t>
        </is>
      </c>
      <c r="H36" s="10" t="inlineStr">
        <is>
          <t>ya</t>
        </is>
      </c>
      <c r="I36" s="10" t="inlineStr">
        <is>
          <t>defense_primary</t>
        </is>
      </c>
      <c r="J36" s="10" t="inlineStr">
        <is>
          <t>Connor</t>
        </is>
      </c>
      <c r="K36" s="10" t="inlineStr">
        <is>
          <t>content_inspection_static</t>
        </is>
      </c>
      <c r="L36" s="10" t="inlineStr">
        <is>
          <t>Detektor deviasi perilaku dua tahap yang menggabungkan analisis statis konfigurasi/kode pre-eksekusi dengan pelacakan lintasan eksekusi dan penilai deviasi berbasis LLM untuk mendeteksi server MCP berbahaya.</t>
        </is>
      </c>
      <c r="M36" s="10" t="inlineStr">
        <is>
          <t>ya</t>
        </is>
      </c>
      <c r="N36" s="10" t="inlineStr">
        <is>
          <t>gateway_proxy</t>
        </is>
      </c>
      <c r="O36" s="10" t="inlineStr">
        <is>
          <t>R2;R7</t>
        </is>
      </c>
      <c r="P36" s="10" t="inlineStr">
        <is>
          <t>A1;A3;B3;D3</t>
        </is>
      </c>
      <c r="Q36" s="10" t="inlineStr">
        <is>
          <t>A1;A3;B3</t>
        </is>
      </c>
      <c r="R36" s="10" t="inlineStr">
        <is>
          <t>author_run</t>
        </is>
      </c>
      <c r="S36" s="10" t="n"/>
      <c r="T36" s="10" t="inlineStr">
        <is>
          <t>mixed</t>
        </is>
      </c>
      <c r="U36" s="10" t="inlineStr">
        <is>
          <t>tidak</t>
        </is>
      </c>
      <c r="V36" s="10" t="n"/>
      <c r="W36" s="10" t="inlineStr">
        <is>
          <t>Sec. 6, Tabel 7 &amp; 8, hal. 22-25</t>
        </is>
      </c>
      <c r="X36" s="10" t="inlineStr">
        <is>
          <t>prototype_open_source</t>
        </is>
      </c>
      <c r="Y36" s="10" t="inlineStr">
        <is>
          <t>F1-score 94.6% (mengungguli SOTA sebesar 8.9% - 59.6%), pre-execution latency 3.2s, in-execution tracing overhead</t>
        </is>
      </c>
      <c r="Z36" s="10" t="inlineStr">
        <is>
          <t>KODER 1 menandai teks lengkap. Connor mengombinasikan analisis statis pre-eksekusi (Joern/CPG) dan deteksi deviasi perilaku runtime dengan model LLM (GPT-5/Claude Sonnet 4). Repositori/artefak: https://github.com/yiheng98/Connor.</t>
        </is>
      </c>
      <c r="AA36" s="11">
        <f>IF(I36="","",IF(OR(I36="attack",I36="survey_review",I36="benchmark_measurement",I36="position_other",I36="not_defense"),"n/a",IF(OR(X36="spec_normatif",X36="produksi_bukti_publik"),"L3",IF(ISNUMBER(SEARCH("independent",R36)),"L2",IF(R36="author_run","L1",IF(R36="none","L0",""))))))</f>
        <v/>
      </c>
      <c r="AB36" s="11">
        <f>IF(I36="","",IF(AND(K36="deterministic_policy",M36="ya"),"PERIKSA: deterministic_policy tetapi LLM/ML ada dalam keputusan. ","")&amp;IF(AND(U36="ya",V36=""),"PERIKSA: adaptif=ya wajib ada kutipan. ","")&amp;IF(AND(R36="none",U36&lt;&gt;"n/a_tanpa_evaluasi",U36&lt;&gt;""),"PERIKSA: tanpa evaluasi, adaptif harus n/a. ","")&amp;IF(AND(OR(R36="author_run",R36="author_run+independent",R36="independent_only"),Q36=""),"PERIKSA: isi kelas_dievaluasi. ","")&amp;IF(AND(OR(R36="author_run",R36="author_run+independent",R36="independent_only"),W36=""),"PERIKSA: isi lokasi_bukti. ","")&amp;IF(AND(H36="tidak",R36&lt;&gt;""),"PERIKSA: tanpa teks lengkap, kosongkan kolom evaluasi. ",""))</f>
        <v/>
      </c>
      <c r="AC36" t="inlineStr">
        <is>
          <t>include</t>
        </is>
      </c>
    </row>
    <row r="37" ht="303" customHeight="1" s="21">
      <c r="A37" s="8" t="inlineStr">
        <is>
          <t>ying-2026-options-not-clicks-lattice-refinement</t>
        </is>
      </c>
      <c r="B37" s="8" t="inlineStr">
        <is>
          <t>Options, Not Clicks: Lattice Refinement for Consent-Driven MCP Authorization</t>
        </is>
      </c>
      <c r="C37" s="8" t="n">
        <v>2026</v>
      </c>
      <c r="D37" s="8" t="inlineStr">
        <is>
          <t>E2</t>
        </is>
      </c>
      <c r="E37" s="8" t="inlineStr">
        <is>
          <t>kandidat_agent</t>
        </is>
      </c>
      <c r="F37" s="8" t="inlineStr">
        <is>
          <t>primary</t>
        </is>
      </c>
      <c r="G37" s="9" t="inlineStr">
        <is>
          <t>https://arxiv.org/abs/2605.11360</t>
        </is>
      </c>
      <c r="H37" s="10" t="inlineStr">
        <is>
          <t>ya</t>
        </is>
      </c>
      <c r="I37" s="10" t="inlineStr">
        <is>
          <t>defense_primary</t>
        </is>
      </c>
      <c r="J37" s="10" t="inlineStr">
        <is>
          <t>ConLeash</t>
        </is>
      </c>
      <c r="K37" s="10" t="inlineStr">
        <is>
          <t>deterministic_policy</t>
        </is>
      </c>
      <c r="L37" s="10" t="inlineStr">
        <is>
          <t>Middleware persetujuan sisi klien berbasis neuro-simbolik yang menggunakan lattice containment dan Datalog deterministik untuk menegakkan otorisasi berlingkup batas dan menyaring eskalasi izin MCP.</t>
        </is>
      </c>
      <c r="M37" s="10" t="inlineStr">
        <is>
          <t>tidak</t>
        </is>
      </c>
      <c r="N37" s="10" t="inlineStr">
        <is>
          <t>C</t>
        </is>
      </c>
      <c r="O37" s="10" t="inlineStr">
        <is>
          <t>R1;R2;R3</t>
        </is>
      </c>
      <c r="P37" s="10" t="inlineStr">
        <is>
          <t>C1;A2;B2</t>
        </is>
      </c>
      <c r="Q37" s="10" t="inlineStr">
        <is>
          <t>C1;A2</t>
        </is>
      </c>
      <c r="R37" s="10" t="inlineStr">
        <is>
          <t>author_run</t>
        </is>
      </c>
      <c r="S37" s="10" t="n"/>
      <c r="T37" s="10" t="inlineStr">
        <is>
          <t>third_party_public</t>
        </is>
      </c>
      <c r="U37" s="10" t="inlineStr">
        <is>
          <t>tidak</t>
        </is>
      </c>
      <c r="V37" s="10" t="n"/>
      <c r="W37" s="10" t="inlineStr">
        <is>
          <t>Sec. 8, Tabel 2 &amp; 3, hal. 11-14</t>
        </is>
      </c>
      <c r="X37" s="10" t="inlineStr">
        <is>
          <t>none</t>
        </is>
      </c>
      <c r="Y37" s="10" t="inlineStr">
        <is>
          <t>8.2 ms reasoning overhead per step; F1 98.7%; menangkap 99.4% eskalasi izin; user study N=16</t>
        </is>
      </c>
      <c r="Z37" s="10" t="inlineStr">
        <is>
          <t>KODER 1 menandai teks lengkap. ConLeash adalah middleware neuro-simbolik; LLM hanya sebagai penerjemah fakta, sedangkan keputusan otorisasi lattice containment sepenuhnya deterministik via Datalog. Catatan deployment: prototipe internal/eksperimental (belum dirilis secara publik).</t>
        </is>
      </c>
      <c r="AA37" s="11">
        <f>IF(I37="","",IF(OR(I37="attack",I37="survey_review",I37="benchmark_measurement",I37="position_other",I37="not_defense"),"n/a",IF(OR(X37="spec_normatif",X37="produksi_bukti_publik"),"L3",IF(ISNUMBER(SEARCH("independent",R37)),"L2",IF(R37="author_run","L1",IF(R37="none","L0",""))))))</f>
        <v/>
      </c>
      <c r="AB37" s="11">
        <f>IF(I37="","",IF(AND(K37="deterministic_policy",M37="ya"),"PERIKSA: deterministic_policy tetapi LLM/ML ada dalam keputusan. ","")&amp;IF(AND(U37="ya",V37=""),"PERIKSA: adaptif=ya wajib ada kutipan. ","")&amp;IF(AND(R37="none",U37&lt;&gt;"n/a_tanpa_evaluasi",U37&lt;&gt;""),"PERIKSA: tanpa evaluasi, adaptif harus n/a. ","")&amp;IF(AND(OR(R37="author_run",R37="author_run+independent",R37="independent_only"),Q37=""),"PERIKSA: isi kelas_dievaluasi. ","")&amp;IF(AND(OR(R37="author_run",R37="author_run+independent",R37="independent_only"),W37=""),"PERIKSA: isi lokasi_bukti. ","")&amp;IF(AND(H37="tidak",R37&lt;&gt;""),"PERIKSA: tanpa teks lengkap, kosongkan kolom evaluasi. ",""))</f>
        <v/>
      </c>
      <c r="AC37" t="inlineStr">
        <is>
          <t>include</t>
        </is>
      </c>
    </row>
    <row r="38" ht="281.25" customHeight="1" s="21">
      <c r="A38" s="8" t="inlineStr">
        <is>
          <t>zehua-2026-no-box-vulnerability-analysis-description</t>
        </is>
      </c>
      <c r="B38" s="8" t="inlineStr">
        <is>
          <t>No-Box Vulnerability Analysis: Description-only Detection of Indirect Prompt Injection Vulnerabilities in MCP Servers</t>
        </is>
      </c>
      <c r="C38" s="8" t="n">
        <v>2026</v>
      </c>
      <c r="D38" s="8" t="inlineStr">
        <is>
          <t>E2</t>
        </is>
      </c>
      <c r="E38" s="8" t="inlineStr">
        <is>
          <t>kandidat_agent</t>
        </is>
      </c>
      <c r="F38" s="8" t="inlineStr">
        <is>
          <t>primary</t>
        </is>
      </c>
      <c r="G38" s="9" t="inlineStr">
        <is>
          <t>https://arxiv.org/abs/2609.10854</t>
        </is>
      </c>
      <c r="H38" s="10" t="inlineStr">
        <is>
          <t>ya</t>
        </is>
      </c>
      <c r="I38" s="10" t="inlineStr">
        <is>
          <t>defense_primary</t>
        </is>
      </c>
      <c r="J38" s="10" t="inlineStr">
        <is>
          <t>MCPSEC</t>
        </is>
      </c>
      <c r="K38" s="10" t="inlineStr">
        <is>
          <t>content_inspection_static</t>
        </is>
      </c>
      <c r="L38" s="10" t="inlineStr">
        <is>
          <t>Pipeline analisis kerentanan no-box yang mengaudit metadata registrasi server MCP untuk mendeteksi potensi aliran data dan kerentanan indirect prompt injection tanpa akses source code atau runtime.</t>
        </is>
      </c>
      <c r="M38" s="10" t="inlineStr">
        <is>
          <t>ya</t>
        </is>
      </c>
      <c r="N38" s="10" t="inlineStr">
        <is>
          <t>offline_analysis</t>
        </is>
      </c>
      <c r="O38" s="10" t="inlineStr">
        <is>
          <t>R7</t>
        </is>
      </c>
      <c r="P38" s="10" t="inlineStr">
        <is>
          <t>B2</t>
        </is>
      </c>
      <c r="Q38" s="10" t="inlineStr">
        <is>
          <t>B2</t>
        </is>
      </c>
      <c r="R38" s="10" t="inlineStr">
        <is>
          <t>author_run</t>
        </is>
      </c>
      <c r="S38" s="10" t="n"/>
      <c r="T38" s="10" t="inlineStr">
        <is>
          <t>mixed</t>
        </is>
      </c>
      <c r="U38" s="10" t="inlineStr">
        <is>
          <t>tidak</t>
        </is>
      </c>
      <c r="V38" s="10" t="n"/>
      <c r="W38" s="10" t="inlineStr">
        <is>
          <t>Sec. VII, Tabel II, hal. 7-10</t>
        </is>
      </c>
      <c r="X38" s="10" t="inlineStr">
        <is>
          <t>none</t>
        </is>
      </c>
      <c r="Y38" s="10" t="inlineStr">
        <is>
          <t>98.9% recall (94 dari 95 vulnerable tools terdeteksi) vs baseline LLM 84.2%; runtime metadata analysis</t>
        </is>
      </c>
      <c r="Z38" s="10" t="inlineStr">
        <is>
          <t>KODER 1 menandai teks lengkap. MCPSEC adalah sistem analisis kerentanan no-box berbasis metadata alat untuk mendeteksi indirect prompt injection (B2) sebelum deployment. Catatan deployment: prototipe internal/eksperimental (belum dirilis secara publik).</t>
        </is>
      </c>
      <c r="AA38" s="11">
        <f>IF(I38="","",IF(OR(I38="attack",I38="survey_review",I38="benchmark_measurement",I38="position_other",I38="not_defense"),"n/a",IF(OR(X38="spec_normatif",X38="produksi_bukti_publik"),"L3",IF(ISNUMBER(SEARCH("independent",R38)),"L2",IF(R38="author_run","L1",IF(R38="none","L0",""))))))</f>
        <v/>
      </c>
      <c r="AB38" s="11">
        <f>IF(I38="","",IF(AND(K38="deterministic_policy",M38="ya"),"PERIKSA: deterministic_policy tetapi LLM/ML ada dalam keputusan. ","")&amp;IF(AND(U38="ya",V38=""),"PERIKSA: adaptif=ya wajib ada kutipan. ","")&amp;IF(AND(R38="none",U38&lt;&gt;"n/a_tanpa_evaluasi",U38&lt;&gt;""),"PERIKSA: tanpa evaluasi, adaptif harus n/a. ","")&amp;IF(AND(OR(R38="author_run",R38="author_run+independent",R38="independent_only"),Q38=""),"PERIKSA: isi kelas_dievaluasi. ","")&amp;IF(AND(OR(R38="author_run",R38="author_run+independent",R38="independent_only"),W38=""),"PERIKSA: isi lokasi_bukti. ","")&amp;IF(AND(H38="tidak",R38&lt;&gt;""),"PERIKSA: tanpa teks lengkap, kosongkan kolom evaluasi. ",""))</f>
        <v/>
      </c>
      <c r="AC38" t="inlineStr">
        <is>
          <t>include</t>
        </is>
      </c>
    </row>
    <row r="39" ht="292.5" customHeight="1" s="21">
      <c r="A39" s="8" t="inlineStr">
        <is>
          <t>zhenhong-2026-mcpshield-security-cognition-layer-adaptive</t>
        </is>
      </c>
      <c r="B39" s="8" t="inlineStr">
        <is>
          <t>MCPShield: A Security Cognition Layer for Adaptive Trust Calibration in Model Context Protocol Agents</t>
        </is>
      </c>
      <c r="C39" s="8" t="n">
        <v>2026</v>
      </c>
      <c r="D39" s="8" t="inlineStr">
        <is>
          <t>E2</t>
        </is>
      </c>
      <c r="E39" s="8" t="inlineStr">
        <is>
          <t>kandidat_agent</t>
        </is>
      </c>
      <c r="F39" s="8" t="inlineStr">
        <is>
          <t>primary</t>
        </is>
      </c>
      <c r="G39" s="9" t="inlineStr">
        <is>
          <t>https://arxiv.org/abs/2602.14281</t>
        </is>
      </c>
      <c r="H39" s="10" t="inlineStr">
        <is>
          <t>ya</t>
        </is>
      </c>
      <c r="I39" s="10" t="inlineStr">
        <is>
          <t>defense_primary</t>
        </is>
      </c>
      <c r="J39" s="10" t="inlineStr">
        <is>
          <t>MCPShield</t>
        </is>
      </c>
      <c r="K39" s="10" t="inlineStr">
        <is>
          <t>content_inspection_static</t>
        </is>
      </c>
      <c r="L39" s="10" t="inlineStr">
        <is>
          <t>Lapisan kognisi keamanan plug-in yang menggabungkan probing kognitif pra-invokasi, proyeksi terisolasi saat eksekusi, dan penalaran periodik pasca-invokasi untuk mengalibrasi kepercayaan agen MCP.</t>
        </is>
      </c>
      <c r="M39" s="10" t="inlineStr">
        <is>
          <t>ya</t>
        </is>
      </c>
      <c r="N39" s="10" t="inlineStr">
        <is>
          <t>gateway_proxy</t>
        </is>
      </c>
      <c r="O39" s="10" t="inlineStr">
        <is>
          <t>R2;R7</t>
        </is>
      </c>
      <c r="P39" s="10" t="inlineStr">
        <is>
          <t>A1;A3;B1;B2;D3</t>
        </is>
      </c>
      <c r="Q39" s="10" t="inlineStr">
        <is>
          <t>A1;A3;B1;B2;D3</t>
        </is>
      </c>
      <c r="R39" s="10" t="inlineStr">
        <is>
          <t>author_run</t>
        </is>
      </c>
      <c r="S39" s="10" t="n"/>
      <c r="T39" s="10" t="inlineStr">
        <is>
          <t>mixed</t>
        </is>
      </c>
      <c r="U39" s="10" t="inlineStr">
        <is>
          <t>tidak</t>
        </is>
      </c>
      <c r="V39" s="10" t="n"/>
      <c r="W39" s="10" t="inlineStr">
        <is>
          <t>Sec. 5, Tabel 1, 2, 3, hal. 7-8</t>
        </is>
      </c>
      <c r="X39" s="10" t="inlineStr">
        <is>
          <t>none</t>
        </is>
      </c>
      <c r="Y39" s="10" t="inlineStr">
        <is>
          <t>Tingkat pertahanan rata-rata 95.30% vs 10.05% baseline; false positive deny rate rendah (Tabel 2); runtime dan token overhead (Gbr 3 &amp; 4)</t>
        </is>
      </c>
      <c r="Z39" s="10" t="inlineStr">
        <is>
          <t>KODER 1 menandai teks lengkap. Mengevaluasi 6 suite serangan termasuk Adaptive Attack (Zhan et al., 2025) yang merupakan benchmark tetap pihak ketiga yang dirancang terhadap pertahanan lain, bukan serangan yang disetel terhadap MCPShield (adaptif=tidak, sesuai Pedoman 7.3). Catatan deployment: prototipe internal/eksperimental (belum dirilis secara publik).</t>
        </is>
      </c>
      <c r="AA39" s="11">
        <f>IF(I39="","",IF(OR(I39="attack",I39="survey_review",I39="benchmark_measurement",I39="position_other",I39="not_defense"),"n/a",IF(OR(X39="spec_normatif",X39="produksi_bukti_publik"),"L3",IF(ISNUMBER(SEARCH("independent",R39)),"L2",IF(R39="author_run","L1",IF(R39="none","L0",""))))))</f>
        <v/>
      </c>
      <c r="AB39" s="11">
        <f>IF(I39="","",IF(AND(K39="deterministic_policy",M39="ya"),"PERIKSA: deterministic_policy tetapi LLM/ML ada dalam keputusan. ","")&amp;IF(AND(U39="ya",V39=""),"PERIKSA: adaptif=ya wajib ada kutipan. ","")&amp;IF(AND(R39="none",U39&lt;&gt;"n/a_tanpa_evaluasi",U39&lt;&gt;""),"PERIKSA: tanpa evaluasi, adaptif harus n/a. ","")&amp;IF(AND(OR(R39="author_run",R39="author_run+independent",R39="independent_only"),Q39=""),"PERIKSA: isi kelas_dievaluasi. ","")&amp;IF(AND(OR(R39="author_run",R39="author_run+independent",R39="independent_only"),W39=""),"PERIKSA: isi lokasi_bukti. ","")&amp;IF(AND(H39="tidak",R39&lt;&gt;""),"PERIKSA: tanpa teks lengkap, kosongkan kolom evaluasi. ",""))</f>
        <v/>
      </c>
      <c r="AC39" t="inlineStr">
        <is>
          <t>include</t>
        </is>
      </c>
    </row>
    <row r="40" ht="270" customHeight="1" s="21">
      <c r="A40" s="8" t="inlineStr">
        <is>
          <t>zhiqiang-2025-mindguard-intrinsic-decision-inspection-securing</t>
        </is>
      </c>
      <c r="B40" s="8" t="inlineStr">
        <is>
          <t>MindGuard: Intrinsic Decision Inspection for Securing LLM Agents Against Metadata Poisoning</t>
        </is>
      </c>
      <c r="C40" s="8" t="n">
        <v>2025</v>
      </c>
      <c r="D40" s="8" t="inlineStr">
        <is>
          <t>E2</t>
        </is>
      </c>
      <c r="E40" s="8" t="inlineStr">
        <is>
          <t>kandidat_agent</t>
        </is>
      </c>
      <c r="F40" s="8" t="inlineStr">
        <is>
          <t>primary</t>
        </is>
      </c>
      <c r="G40" s="9" t="inlineStr">
        <is>
          <t>https://arxiv.org/abs/2508.20412</t>
        </is>
      </c>
      <c r="H40" s="10" t="inlineStr">
        <is>
          <t>ya</t>
        </is>
      </c>
      <c r="I40" s="10" t="inlineStr">
        <is>
          <t>defense_primary</t>
        </is>
      </c>
      <c r="J40" s="10" t="inlineStr">
        <is>
          <t>MindGuard</t>
        </is>
      </c>
      <c r="K40" s="10" t="inlineStr">
        <is>
          <t>content_inspection_runtime</t>
        </is>
      </c>
      <c r="L40" s="10" t="inlineStr">
        <is>
          <t>Plugin inspeksi keputusan intrinsik yang menganalisis matriks aktivasi perhatian (DDG &amp; Total Attention Energy) pada LLM host untuk mendeteksi metadata poisoning tanpa model eksternal.</t>
        </is>
      </c>
      <c r="M40" s="10" t="inlineStr">
        <is>
          <t>ya</t>
        </is>
      </c>
      <c r="N40" s="10" t="inlineStr">
        <is>
          <t>C</t>
        </is>
      </c>
      <c r="O40" s="10" t="inlineStr">
        <is>
          <t>R2;R3</t>
        </is>
      </c>
      <c r="P40" s="10" t="inlineStr">
        <is>
          <t>A1;B3;B1</t>
        </is>
      </c>
      <c r="Q40" s="10" t="inlineStr">
        <is>
          <t>A1</t>
        </is>
      </c>
      <c r="R40" s="10" t="inlineStr">
        <is>
          <t>author_run</t>
        </is>
      </c>
      <c r="S40" s="10" t="n"/>
      <c r="T40" s="10" t="inlineStr">
        <is>
          <t>mixed</t>
        </is>
      </c>
      <c r="U40" s="10" t="inlineStr">
        <is>
          <t>ya</t>
        </is>
      </c>
      <c r="V40" s="10" t="inlineStr">
        <is>
          <t>Attacker crafts a subtle payload to alter LLM's decision without a detectable attention activation.</t>
        </is>
      </c>
      <c r="W40" s="10" t="inlineStr">
        <is>
          <t>Sec. 6.5; Fig. 8b; hal. 11</t>
        </is>
      </c>
      <c r="X40" s="10" t="inlineStr">
        <is>
          <t>none</t>
        </is>
      </c>
      <c r="Y40" s="10" t="inlineStr">
        <is>
          <t>Average Precision &gt; 97.6%, akurasi atribusi &gt; 98.6%, hemat 1,000+ token per invokasi, subsecond runtime cost</t>
        </is>
      </c>
      <c r="Z40" s="10" t="inlineStr">
        <is>
          <t>MindGuard mengekstraksi matriks atensi runtime LLM (TAE). Serangan adaptif Attention Minimization (Sec. 6.5, Fig. 8b). C4 ditolak. Catatan deployment: prototipe internal/eksperimental (belum dirilis secara publik).</t>
        </is>
      </c>
      <c r="AA40" s="11">
        <f>IF(I40="","",IF(OR(I40="attack",I40="survey_review",I40="benchmark_measurement",I40="position_other",I40="not_defense"),"n/a",IF(OR(X40="spec_normatif",X40="produksi_bukti_publik"),"L3",IF(ISNUMBER(SEARCH("independent",R40)),"L2",IF(R40="author_run","L1",IF(R40="none","L0",""))))))</f>
        <v/>
      </c>
      <c r="AB40" s="11">
        <f>IF(I40="","",IF(AND(K40="deterministic_policy",M40="ya"),"PERIKSA: deterministic_policy tetapi LLM/ML ada dalam keputusan. ","")&amp;IF(AND(U40="ya",V40=""),"PERIKSA: adaptif=ya wajib ada kutipan. ","")&amp;IF(AND(R40="none",U40&lt;&gt;"n/a_tanpa_evaluasi",U40&lt;&gt;""),"PERIKSA: tanpa evaluasi, adaptif harus n/a. ","")&amp;IF(AND(OR(R40="author_run",R40="author_run+independent",R40="independent_only"),Q40=""),"PERIKSA: isi kelas_dievaluasi. ","")&amp;IF(AND(OR(R40="author_run",R40="author_run+independent",R40="independent_only"),W40=""),"PERIKSA: isi lokasi_bukti. ","")&amp;IF(AND(H40="tidak",R40&lt;&gt;""),"PERIKSA: tanpa teks lengkap, kosongkan kolom evaluasi. ",""))</f>
        <v/>
      </c>
      <c r="AC40" t="inlineStr">
        <is>
          <t>include</t>
        </is>
      </c>
    </row>
    <row r="41" ht="281.25" customHeight="1" s="21">
      <c r="A41" s="8" t="inlineStr">
        <is>
          <t>zhiyang-2026-acle-mcp-attested-capability-leases</t>
        </is>
      </c>
      <c r="B41" s="8" t="inlineStr">
        <is>
          <t>ACLE-MCP: Attested Capability Leases for Execution-Time Trust in Remote LLM Tool Use</t>
        </is>
      </c>
      <c r="C41" s="8" t="n">
        <v>2026</v>
      </c>
      <c r="D41" s="8" t="inlineStr">
        <is>
          <t>E2</t>
        </is>
      </c>
      <c r="E41" s="8" t="inlineStr">
        <is>
          <t>kandidat_agent</t>
        </is>
      </c>
      <c r="F41" s="8" t="inlineStr">
        <is>
          <t>primary</t>
        </is>
      </c>
      <c r="G41" s="9" t="inlineStr">
        <is>
          <t>https://arxiv.org/abs/2609.02690</t>
        </is>
      </c>
      <c r="H41" s="10" t="inlineStr">
        <is>
          <t>ya</t>
        </is>
      </c>
      <c r="I41" s="10" t="inlineStr">
        <is>
          <t>defense_primary</t>
        </is>
      </c>
      <c r="J41" s="10" t="inlineStr">
        <is>
          <t>ACLE-MCP</t>
        </is>
      </c>
      <c r="K41" s="10" t="inlineStr">
        <is>
          <t>protocol_provision</t>
        </is>
      </c>
      <c r="L41" s="10" t="inlineStr">
        <is>
          <t>Arsitektur capability lease berlingkup invokasi dengan atestasi vTPM dan Execution Gate pada sisi penyedia alat untuk memvalidasi beban kerja dan memitigasi celah kepercayaan pasca-otorisasi remote MCP.</t>
        </is>
      </c>
      <c r="M41" s="10" t="inlineStr">
        <is>
          <t>tidak</t>
        </is>
      </c>
      <c r="N41" s="10" t="inlineStr">
        <is>
          <t>S</t>
        </is>
      </c>
      <c r="O41" s="10" t="inlineStr">
        <is>
          <t>R2;R3</t>
        </is>
      </c>
      <c r="P41" s="10" t="inlineStr">
        <is>
          <t>A3;C1;C3;D3</t>
        </is>
      </c>
      <c r="Q41" s="10" t="inlineStr">
        <is>
          <t>A3;C1;C3;D3</t>
        </is>
      </c>
      <c r="R41" s="10" t="inlineStr">
        <is>
          <t>author_run</t>
        </is>
      </c>
      <c r="S41" s="10" t="n"/>
      <c r="T41" s="10" t="inlineStr">
        <is>
          <t>authors_own</t>
        </is>
      </c>
      <c r="U41" s="10" t="inlineStr">
        <is>
          <t>tidak</t>
        </is>
      </c>
      <c r="V41" s="10" t="n"/>
      <c r="W41" s="10" t="inlineStr">
        <is>
          <t>Sec. Evaluation, Tabel 1 &amp; Gbr 3, hal. 6-8</t>
        </is>
      </c>
      <c r="X41" s="10" t="inlineStr">
        <is>
          <t>none</t>
        </is>
      </c>
      <c r="Y41" s="10" t="inlineStr">
        <is>
          <t>P95 latency overhead 25.7% (normal allowed calls) vs OAuth-only; memblokir 100% keluarga serangan yang dievaluasi</t>
        </is>
      </c>
      <c r="Z41" s="10" t="inlineStr">
        <is>
          <t>KODER 1 menandai teks lengkap. Arsitektur capability lease berlingkup invokasi dengan atestasi vTPM dan Execution Gate pada sisi server MCP untuk menutup celah post-authorization trust gap. Catatan deployment: prototipe internal/eksperimental (belum dirilis secara publik).</t>
        </is>
      </c>
      <c r="AA41" s="11">
        <f>IF(I41="","",IF(OR(I41="attack",I41="survey_review",I41="benchmark_measurement",I41="position_other",I41="not_defense"),"n/a",IF(OR(X41="spec_normatif",X41="produksi_bukti_publik"),"L3",IF(ISNUMBER(SEARCH("independent",R41)),"L2",IF(R41="author_run","L1",IF(R41="none","L0",""))))))</f>
        <v/>
      </c>
      <c r="AB41" s="11">
        <f>IF(I41="","",IF(AND(K41="deterministic_policy",M41="ya"),"PERIKSA: deterministic_policy tetapi LLM/ML ada dalam keputusan. ","")&amp;IF(AND(U41="ya",V41=""),"PERIKSA: adaptif=ya wajib ada kutipan. ","")&amp;IF(AND(R41="none",U41&lt;&gt;"n/a_tanpa_evaluasi",U41&lt;&gt;""),"PERIKSA: tanpa evaluasi, adaptif harus n/a. ","")&amp;IF(AND(OR(R41="author_run",R41="author_run+independent",R41="independent_only"),Q41=""),"PERIKSA: isi kelas_dievaluasi. ","")&amp;IF(AND(OR(R41="author_run",R41="author_run+independent",R41="independent_only"),W41=""),"PERIKSA: isi lokasi_bukti. ","")&amp;IF(AND(H41="tidak",R41&lt;&gt;""),"PERIKSA: tanpa teks lengkap, kosongkan kolom evaluasi. ",""))</f>
        <v/>
      </c>
      <c r="AC41" t="inlineStr">
        <is>
          <t>include</t>
        </is>
      </c>
    </row>
    <row r="42" ht="258.75" customHeight="1" s="21">
      <c r="A42" s="8" t="inlineStr">
        <is>
          <t>zhonghao-2025-aegismcp-online-graph-intrusion-detection</t>
        </is>
      </c>
      <c r="B42" s="8" t="inlineStr">
        <is>
          <t>AegisMCP: Online Graph Intrusion Detection for Tool-Augmented LLMs on Edge Devices</t>
        </is>
      </c>
      <c r="C42" s="8" t="n">
        <v>2025</v>
      </c>
      <c r="D42" s="8" t="inlineStr">
        <is>
          <t>E2</t>
        </is>
      </c>
      <c r="E42" s="8" t="inlineStr">
        <is>
          <t>kandidat_agent</t>
        </is>
      </c>
      <c r="F42" s="8" t="inlineStr">
        <is>
          <t>primary</t>
        </is>
      </c>
      <c r="G42" s="9" t="inlineStr">
        <is>
          <t>https://arxiv.org/abs/2510.19462</t>
        </is>
      </c>
      <c r="H42" s="10" t="inlineStr">
        <is>
          <t>ya</t>
        </is>
      </c>
      <c r="I42" s="10" t="inlineStr">
        <is>
          <t>defense_primary</t>
        </is>
      </c>
      <c r="J42" s="10" t="inlineStr">
        <is>
          <t>AegisMCP</t>
        </is>
      </c>
      <c r="K42" s="10" t="inlineStr">
        <is>
          <t>content_inspection_runtime</t>
        </is>
      </c>
      <c r="L42" s="10" t="inlineStr">
        <is>
          <t>Sistem deteksi intrusi tingkat protokol berbasis graf temporal heterogen (NEBULA-Schema) yang mendeteksi anomali perilaku dan chaining alat MCP secara near-real-time pada perangkat edge.</t>
        </is>
      </c>
      <c r="M42" s="10" t="inlineStr">
        <is>
          <t>tidak</t>
        </is>
      </c>
      <c r="N42" s="10" t="inlineStr">
        <is>
          <t>gateway_proxy</t>
        </is>
      </c>
      <c r="O42" s="10" t="inlineStr">
        <is>
          <t>R2;R7</t>
        </is>
      </c>
      <c r="P42" s="10" t="inlineStr">
        <is>
          <t>A2;A3;B1;D3</t>
        </is>
      </c>
      <c r="Q42" s="10" t="inlineStr">
        <is>
          <t>A2;A3;D3</t>
        </is>
      </c>
      <c r="R42" s="10" t="inlineStr">
        <is>
          <t>author_run</t>
        </is>
      </c>
      <c r="S42" s="10" t="n"/>
      <c r="T42" s="10" t="inlineStr">
        <is>
          <t>authors_own</t>
        </is>
      </c>
      <c r="U42" s="10" t="inlineStr">
        <is>
          <t>tidak</t>
        </is>
      </c>
      <c r="V42" s="10" t="n"/>
      <c r="W42" s="10" t="inlineStr">
        <is>
          <t>Sec. VI, Tabel II, Gambar 4, hal. 7-10</t>
        </is>
      </c>
      <c r="X42" s="10" t="inlineStr">
        <is>
          <t>none</t>
        </is>
      </c>
      <c r="Y42" s="10" t="inlineStr">
        <is>
          <t>Sub-second latency (inferensi per jendela &lt; 1s pada Intel N150-class CPU edge hardware); F1 &gt; 0.92</t>
        </is>
      </c>
      <c r="Z42" s="10" t="inlineStr">
        <is>
          <t>KODER 1 menandai teks lengkap. Detektor intrusi streaming berbasis representasi graf temporal (NEBULA-Schema) berjalan di CPU edge tanpa LLM. Evasion dianalisis secara kualitatif di Sec. C. Catatan deployment: prototipe internal/eksperimental (belum dirilis secara publik).</t>
        </is>
      </c>
      <c r="AA42" s="11">
        <f>IF(I42="","",IF(OR(I42="attack",I42="survey_review",I42="benchmark_measurement",I42="position_other",I42="not_defense"),"n/a",IF(OR(X42="spec_normatif",X42="produksi_bukti_publik"),"L3",IF(ISNUMBER(SEARCH("independent",R42)),"L2",IF(R42="author_run","L1",IF(R42="none","L0",""))))))</f>
        <v/>
      </c>
      <c r="AB42" s="11">
        <f>IF(I42="","",IF(AND(K42="deterministic_policy",M42="ya"),"PERIKSA: deterministic_policy tetapi LLM/ML ada dalam keputusan. ","")&amp;IF(AND(U42="ya",V42=""),"PERIKSA: adaptif=ya wajib ada kutipan. ","")&amp;IF(AND(R42="none",U42&lt;&gt;"n/a_tanpa_evaluasi",U42&lt;&gt;""),"PERIKSA: tanpa evaluasi, adaptif harus n/a. ","")&amp;IF(AND(OR(R42="author_run",R42="author_run+independent",R42="independent_only"),Q42=""),"PERIKSA: isi kelas_dievaluasi. ","")&amp;IF(AND(OR(R42="author_run",R42="author_run+independent",R42="independent_only"),W42=""),"PERIKSA: isi lokasi_bukti. ","")&amp;IF(AND(H42="tidak",R42&lt;&gt;""),"PERIKSA: tanpa teks lengkap, kosongkan kolom evaluasi. ",""))</f>
        <v/>
      </c>
      <c r="AC42" t="inlineStr">
        <is>
          <t>include</t>
        </is>
      </c>
    </row>
    <row r="43" ht="325.5" customHeight="1" s="21">
      <c r="A43" s="8" t="inlineStr">
        <is>
          <t>zhuoran-2026-mcp-sandboxscan-wasm-based-secure</t>
        </is>
      </c>
      <c r="B43" s="8" t="inlineStr">
        <is>
          <t>MCP-SandboxScan: WASM-based Secure Execution and Runtime Analysis for MCP Tools</t>
        </is>
      </c>
      <c r="C43" s="8" t="n">
        <v>2026</v>
      </c>
      <c r="D43" s="8" t="inlineStr">
        <is>
          <t>E2</t>
        </is>
      </c>
      <c r="E43" s="8" t="inlineStr">
        <is>
          <t>kandidat_agent</t>
        </is>
      </c>
      <c r="F43" s="8" t="inlineStr">
        <is>
          <t>primary</t>
        </is>
      </c>
      <c r="G43" s="9" t="inlineStr">
        <is>
          <t>https://arxiv.org/abs/2601.01241</t>
        </is>
      </c>
      <c r="H43" s="10" t="inlineStr">
        <is>
          <t>ya</t>
        </is>
      </c>
      <c r="I43" s="10" t="inlineStr">
        <is>
          <t>defense_primary</t>
        </is>
      </c>
      <c r="J43" s="10" t="inlineStr">
        <is>
          <t>MCP-SandboxScan (SandScope)</t>
        </is>
      </c>
      <c r="K43" s="10" t="inlineStr">
        <is>
          <t>isolation_containment</t>
        </is>
      </c>
      <c r="L43" s="10" t="inlineStr">
        <is>
          <t>Kerangka kerja audit dan sandboxing berbasis WASM/WASI yang mengisolasi eksekusi alat MCP dan mendeteksi runtime witness kebocoran data sumber-ke-muara (canary) pada output protokol.</t>
        </is>
      </c>
      <c r="M43" s="10" t="inlineStr">
        <is>
          <t>tidak</t>
        </is>
      </c>
      <c r="N43" s="10" t="inlineStr">
        <is>
          <t>gateway_proxy</t>
        </is>
      </c>
      <c r="O43" s="10" t="inlineStr">
        <is>
          <t>R2;R5;R6</t>
        </is>
      </c>
      <c r="P43" s="10" t="inlineStr">
        <is>
          <t>A2;D1;D3</t>
        </is>
      </c>
      <c r="Q43" s="10" t="inlineStr">
        <is>
          <t>A2;D1</t>
        </is>
      </c>
      <c r="R43" s="10" t="inlineStr">
        <is>
          <t>author_run</t>
        </is>
      </c>
      <c r="S43" s="10" t="n"/>
      <c r="T43" s="10" t="inlineStr">
        <is>
          <t>mixed</t>
        </is>
      </c>
      <c r="U43" s="10" t="inlineStr">
        <is>
          <t>tidak</t>
        </is>
      </c>
      <c r="V43" s="10" t="n"/>
      <c r="W43" s="10" t="inlineStr">
        <is>
          <t>Sec. 4, Tabel 1 &amp; 2, hal. 7-10</t>
        </is>
      </c>
      <c r="X43" s="10" t="inlineStr">
        <is>
          <t>none</t>
        </is>
      </c>
      <c r="Y43" s="10" t="inlineStr">
        <is>
          <t>Shallow dynamic scan 35 repo, latensi scan ~detik, deteksi kebocoran canary akurat</t>
        </is>
      </c>
      <c r="Z43" s="10" t="inlineStr">
        <is>
          <t>KODER 1 menandai teks lengkap. SandScope menggabungkan sandboxing WASM/WASI dengan deteksi saksi aliran data (canary) dan profiling semantik tools/list. Pengujian transformasi mencakup ROT13, hex, base64. Catatan deployment: prototipe internal/eksperimental (belum dirilis secara publik).</t>
        </is>
      </c>
      <c r="AA43" s="11">
        <f>IF(I43="","",IF(OR(I43="attack",I43="survey_review",I43="benchmark_measurement",I43="position_other",I43="not_defense"),"n/a",IF(OR(X43="spec_normatif",X43="produksi_bukti_publik"),"L3",IF(ISNUMBER(SEARCH("independent",R43)),"L2",IF(R43="author_run","L1",IF(R43="none","L0",""))))))</f>
        <v/>
      </c>
      <c r="AB43" s="11">
        <f>IF(I43="","",IF(AND(K43="deterministic_policy",M43="ya"),"PERIKSA: deterministic_policy tetapi LLM/ML ada dalam keputusan. ","")&amp;IF(AND(U43="ya",V43=""),"PERIKSA: adaptif=ya wajib ada kutipan. ","")&amp;IF(AND(R43="none",U43&lt;&gt;"n/a_tanpa_evaluasi",U43&lt;&gt;""),"PERIKSA: tanpa evaluasi, adaptif harus n/a. ","")&amp;IF(AND(OR(R43="author_run",R43="author_run+independent",R43="independent_only"),Q43=""),"PERIKSA: isi kelas_dievaluasi. ","")&amp;IF(AND(OR(R43="author_run",R43="author_run+independent",R43="independent_only"),W43=""),"PERIKSA: isi lokasi_bukti. ","")&amp;IF(AND(H43="tidak",R43&lt;&gt;""),"PERIKSA: tanpa teks lengkap, kosongkan kolom evaluasi. ",""))</f>
        <v/>
      </c>
      <c r="AC43" t="inlineStr">
        <is>
          <t>include</t>
        </is>
      </c>
    </row>
    <row r="44" ht="409.6" customHeight="1" s="21">
      <c r="A44" s="8" t="inlineStr">
        <is>
          <t>gabriela-2025-security-posture-evaluation-model-context</t>
        </is>
      </c>
      <c r="B44" s="8" t="inlineStr">
        <is>
          <t>Security Posture Evaluation of Model Context Protocol Servers Against Prompt Injection</t>
        </is>
      </c>
      <c r="C44" s="8" t="n">
        <v>2025</v>
      </c>
      <c r="D44" s="8" t="inlineStr">
        <is>
          <t>E1</t>
        </is>
      </c>
      <c r="E44" s="8" t="inlineStr">
        <is>
          <t>kandidat_agent</t>
        </is>
      </c>
      <c r="F44" s="8" t="inlineStr">
        <is>
          <t>proposal_only</t>
        </is>
      </c>
      <c r="G44" s="9" t="inlineStr">
        <is>
          <t>https://doi.org/10.1109/siitme67657.2025.11293682</t>
        </is>
      </c>
      <c r="H44" s="10" t="inlineStr">
        <is>
          <t>tidak</t>
        </is>
      </c>
      <c r="I44" s="10" t="inlineStr">
        <is>
          <t>benchmark_measurement</t>
        </is>
      </c>
      <c r="J44" s="10" t="n"/>
      <c r="K44" s="10" t="n"/>
      <c r="L44" s="10" t="n"/>
      <c r="M44" s="10" t="n"/>
      <c r="N44" s="10" t="n"/>
      <c r="O44" s="10" t="n"/>
      <c r="P44" s="10" t="n"/>
      <c r="Q44" s="10" t="n"/>
      <c r="R44" s="10" t="n"/>
      <c r="S44" s="10" t="n"/>
      <c r="T44" s="10" t="n"/>
      <c r="U44" s="10" t="n"/>
      <c r="V44" s="10" t="n"/>
      <c r="W44" s="10" t="n"/>
      <c r="X44" s="10" t="n"/>
      <c r="Y44" s="10" t="n"/>
      <c r="Z44" s="10" t="inlineStr">
        <is>
          <t>[NON-OA / ABSTRACT-ONLY] Makalah IEEE SIITME 2025 dengan akses tertutup (DOI: 10.1109/siitme67657.2025.11293682). Studi evaluasi postur keamanan server MCP terhadap prompt injection (studi pengukuran/evaluasi empiris tanpa usulan mitigasi baru). KODER 1 menandai proposal_only secara otomatis.</t>
        </is>
      </c>
      <c r="AA44" s="11">
        <f>IF(I44="","",IF(OR(I44="attack",I44="survey_review",I44="benchmark_measurement",I44="position_other",I44="not_defense"),"n/a",IF(OR(X44="spec_normatif",X44="produksi_bukti_publik"),"L3",IF(ISNUMBER(SEARCH("independent",R44)),"L2",IF(R44="author_run","L1",IF(R44="none","L0",""))))))</f>
        <v/>
      </c>
      <c r="AB44" s="11">
        <f>IF(I44="","",IF(AND(K44="deterministic_policy",M44="ya"),"PERIKSA: deterministic_policy tetapi LLM/ML ada dalam keputusan. ","")&amp;IF(AND(U44="ya",V44=""),"PERIKSA: adaptif=ya wajib ada kutipan. ","")&amp;IF(AND(R44="none",U44&lt;&gt;"n/a_tanpa_evaluasi",U44&lt;&gt;""),"PERIKSA: tanpa evaluasi, adaptif harus n/a. ","")&amp;IF(AND(OR(R44="author_run",R44="author_run+independent",R44="independent_only"),Q44=""),"PERIKSA: isi kelas_dievaluasi. ","")&amp;IF(AND(OR(R44="author_run",R44="author_run+independent",R44="independent_only"),W44=""),"PERIKSA: isi lokasi_bukti. ","")&amp;IF(AND(H44="tidak",R44&lt;&gt;""),"PERIKSA: tanpa teks lengkap, kosongkan kolom evaluasi. ",""))</f>
        <v/>
      </c>
      <c r="AC44" t="inlineStr">
        <is>
          <t>include</t>
        </is>
      </c>
    </row>
    <row r="45" ht="325.5" customHeight="1" s="21">
      <c r="A45" s="8" t="inlineStr">
        <is>
          <t>grigoris-2025-securing-mcp-based-agent-workflows</t>
        </is>
      </c>
      <c r="B45" s="8" t="inlineStr">
        <is>
          <t>Securing MCP-based Agent Workflows</t>
        </is>
      </c>
      <c r="C45" s="8" t="n">
        <v>2025</v>
      </c>
      <c r="D45" s="8" t="inlineStr">
        <is>
          <t>E1</t>
        </is>
      </c>
      <c r="E45" s="8" t="inlineStr">
        <is>
          <t>kandidat_agent</t>
        </is>
      </c>
      <c r="F45" s="8" t="inlineStr">
        <is>
          <t>proposal_only</t>
        </is>
      </c>
      <c r="G45" s="9" t="inlineStr">
        <is>
          <t>https://doi.org/10.1145/3766882.3767177</t>
        </is>
      </c>
      <c r="H45" s="10" t="inlineStr">
        <is>
          <t>ya</t>
        </is>
      </c>
      <c r="I45" s="10" t="inlineStr">
        <is>
          <t>defense_primary</t>
        </is>
      </c>
      <c r="J45" s="10" t="inlineStr">
        <is>
          <t>SAMOS</t>
        </is>
      </c>
      <c r="K45" s="10" t="inlineStr">
        <is>
          <t>deterministic_policy</t>
        </is>
      </c>
      <c r="L45" s="10" t="inlineStr">
        <is>
          <t>Sistem Information Flow Control (IFC) tingkat gateway MCP yang menegakkan kebijakan keamanan berbasis label kerahasiaan read/write dan anotasi kapabilitas tool.</t>
        </is>
      </c>
      <c r="M45" s="10" t="inlineStr">
        <is>
          <t>tidak</t>
        </is>
      </c>
      <c r="N45" s="10" t="inlineStr">
        <is>
          <t>gateway_proxy</t>
        </is>
      </c>
      <c r="O45" s="10" t="inlineStr">
        <is>
          <t>R2;R3;R5</t>
        </is>
      </c>
      <c r="P45" s="10" t="inlineStr">
        <is>
          <t>A2;D1;D2</t>
        </is>
      </c>
      <c r="Q45" s="10" t="inlineStr">
        <is>
          <t>A2;D1;D2</t>
        </is>
      </c>
      <c r="R45" s="10" t="inlineStr">
        <is>
          <t>author_run</t>
        </is>
      </c>
      <c r="S45" s="10" t="n"/>
      <c r="T45" s="10" t="inlineStr">
        <is>
          <t>authors_own</t>
        </is>
      </c>
      <c r="U45" s="10" t="inlineStr">
        <is>
          <t>tidak</t>
        </is>
      </c>
      <c r="V45" s="10" t="n"/>
      <c r="W45" s="10" t="inlineStr">
        <is>
          <t>Sec. 3-4, Tabel 1, hal. 3-5</t>
        </is>
      </c>
      <c r="X45" s="10" t="inlineStr">
        <is>
          <t>none</t>
        </is>
      </c>
      <c r="Y45" s="10" t="inlineStr">
        <is>
          <t>not_reported</t>
        </is>
      </c>
      <c r="Z45" s="10" t="inlineStr">
        <is>
          <t>Teks lengkap tersedia di papers/acm. Validasi studi kasus nyata pencegahan kebocoran repositori privat GitHub MCP server di Claude Desktop.</t>
        </is>
      </c>
      <c r="AA45" s="11">
        <f>IF(I45="","",IF(OR(I45="attack",I45="survey_review",I45="benchmark_measurement",I45="position_other",I45="not_defense"),"n/a",IF(OR(X45="spec_normatif",X45="produksi_bukti_publik"),"L3",IF(ISNUMBER(SEARCH("independent",R45)),"L2",IF(R45="author_run","L1",IF(R45="none","L0",""))))))</f>
        <v/>
      </c>
      <c r="AB45" s="11">
        <f>IF(I45="","",IF(AND(K45="deterministic_policy",M45="ya"),"PERIKSA: deterministic_policy tetapi LLM/ML ada dalam keputusan. ","")&amp;IF(AND(U45="ya",V45=""),"PERIKSA: adaptif=ya wajib ada kutipan. ","")&amp;IF(AND(R45="none",U45&lt;&gt;"n/a_tanpa_evaluasi",U45&lt;&gt;""),"PERIKSA: tanpa evaluasi, adaptif harus n/a. ","")&amp;IF(AND(OR(R45="author_run",R45="author_run+independent",R45="independent_only"),Q45=""),"PERIKSA: isi kelas_dievaluasi. ","")&amp;IF(AND(OR(R45="author_run",R45="author_run+independent",R45="independent_only"),W45=""),"PERIKSA: isi lokasi_bukti. ","")&amp;IF(AND(H45="tidak",R45&lt;&gt;""),"PERIKSA: tanpa teks lengkap, kosongkan kolom evaluasi. ",""))</f>
        <v/>
      </c>
      <c r="AC45" t="inlineStr">
        <is>
          <t>include</t>
        </is>
      </c>
    </row>
    <row r="46" ht="348" customHeight="1" s="21">
      <c r="A46" s="8" t="inlineStr">
        <is>
          <t>herman-2025-securing-model-context-protocol-mcp</t>
        </is>
      </c>
      <c r="B46" s="8" t="inlineStr">
        <is>
          <t>Securing the Model Context Protocol (MCP): Risks, Controls, and Governance</t>
        </is>
      </c>
      <c r="C46" s="8" t="n">
        <v>2025</v>
      </c>
      <c r="D46" s="8" t="inlineStr">
        <is>
          <t>E2</t>
        </is>
      </c>
      <c r="E46" s="8" t="inlineStr">
        <is>
          <t>kandidat_agent</t>
        </is>
      </c>
      <c r="F46" s="8" t="inlineStr">
        <is>
          <t>proposal_only</t>
        </is>
      </c>
      <c r="G46" s="9" t="inlineStr">
        <is>
          <t>https://arxiv.org/abs/2511.20920</t>
        </is>
      </c>
      <c r="H46" s="10" t="inlineStr">
        <is>
          <t>ya</t>
        </is>
      </c>
      <c r="I46" s="10" t="inlineStr">
        <is>
          <t>proposal_only</t>
        </is>
      </c>
      <c r="J46" s="10" t="inlineStr">
        <is>
          <t>MCP Defense-in-Depth Control Framework</t>
        </is>
      </c>
      <c r="K46" s="10" t="inlineStr">
        <is>
          <t>deterministic_policy</t>
        </is>
      </c>
      <c r="L46" s="10" t="inlineStr">
        <is>
          <t>Kerangka kerja kontrol pertahanan berlapis dan arsitektur gateway yang menerapkan autentikasi granular, pelacakan provenansi, sandboxing kontainer, dan penegakan kebijakan inline DLP untuk MCP enterprise.</t>
        </is>
      </c>
      <c r="M46" s="10" t="inlineStr">
        <is>
          <t>tidak</t>
        </is>
      </c>
      <c r="N46" s="10" t="inlineStr">
        <is>
          <t>gateway_proxy</t>
        </is>
      </c>
      <c r="O46" s="10" t="inlineStr">
        <is>
          <t>R1;R2;R4;R5;R6;R7</t>
        </is>
      </c>
      <c r="P46" s="10" t="inlineStr">
        <is>
          <t>A1;A2;A3;B1;B2;C3;D3</t>
        </is>
      </c>
      <c r="Q46" s="10" t="n"/>
      <c r="R46" s="10" t="inlineStr">
        <is>
          <t>none</t>
        </is>
      </c>
      <c r="S46" s="10" t="n"/>
      <c r="T46" s="10" t="inlineStr">
        <is>
          <t>none</t>
        </is>
      </c>
      <c r="U46" s="10" t="inlineStr">
        <is>
          <t>n/a_tanpa_evaluasi</t>
        </is>
      </c>
      <c r="V46" s="10" t="n"/>
      <c r="W46" s="10" t="inlineStr">
        <is>
          <t>Sec. 4 &amp; 5, hal. 8-15</t>
        </is>
      </c>
      <c r="X46" s="10" t="inlineStr">
        <is>
          <t>none</t>
        </is>
      </c>
      <c r="Y46" s="10" t="inlineStr">
        <is>
          <t>not_reported</t>
        </is>
      </c>
      <c r="Z46" s="10" t="inlineStr">
        <is>
          <t>Makalah usulan kontrol pertahanan berlapis (Vanta &amp; MintMCP) tanpa pengujian empiris kuantitatif terhadap dataset serangan. Penulis menyatakan tidak menyajikan tolok ukur biaya penegakan. KODER 1 menandai teks lengkap.</t>
        </is>
      </c>
      <c r="AA46" s="11">
        <f>IF(I46="","",IF(OR(I46="attack",I46="survey_review",I46="benchmark_measurement",I46="position_other",I46="not_defense"),"n/a",IF(OR(X46="spec_normatif",X46="produksi_bukti_publik"),"L3",IF(ISNUMBER(SEARCH("independent",R46)),"L2",IF(R46="author_run","L1",IF(R46="none","L0",""))))))</f>
        <v/>
      </c>
      <c r="AB46" s="11">
        <f>IF(I46="","",IF(AND(K46="deterministic_policy",M46="ya"),"PERIKSA: deterministic_policy tetapi LLM/ML ada dalam keputusan. ","")&amp;IF(AND(U46="ya",V46=""),"PERIKSA: adaptif=ya wajib ada kutipan. ","")&amp;IF(AND(R46="none",U46&lt;&gt;"n/a_tanpa_evaluasi",U46&lt;&gt;""),"PERIKSA: tanpa evaluasi, adaptif harus n/a. ","")&amp;IF(AND(OR(R46="author_run",R46="author_run+independent",R46="independent_only"),Q46=""),"PERIKSA: isi kelas_dievaluasi. ","")&amp;IF(AND(OR(R46="author_run",R46="author_run+independent",R46="independent_only"),W46=""),"PERIKSA: isi lokasi_bukti. ","")&amp;IF(AND(H46="tidak",R46&lt;&gt;""),"PERIKSA: tanpa teks lengkap, kosongkan kolom evaluasi. ",""))</f>
        <v/>
      </c>
      <c r="AC46" t="inlineStr">
        <is>
          <t>include</t>
        </is>
      </c>
    </row>
    <row r="47" ht="270" customHeight="1" s="21">
      <c r="A47" s="8" t="inlineStr">
        <is>
          <t>jaehyun-2025-preserving-onem2m-security-semantics-llm</t>
        </is>
      </c>
      <c r="B47" s="8" t="inlineStr">
        <is>
          <t>Preserving oneM2M Security Semantics in LLM-IoT Integration with Model Context Protocol</t>
        </is>
      </c>
      <c r="C47" s="8" t="n">
        <v>2025</v>
      </c>
      <c r="D47" s="8" t="inlineStr">
        <is>
          <t>E1</t>
        </is>
      </c>
      <c r="E47" s="8" t="inlineStr">
        <is>
          <t>kandidat_agent</t>
        </is>
      </c>
      <c r="F47" s="8" t="inlineStr">
        <is>
          <t>proposal_only</t>
        </is>
      </c>
      <c r="G47" s="9" t="inlineStr">
        <is>
          <t>https://doi.org/10.1109/AIoT66900.2025.00032</t>
        </is>
      </c>
      <c r="H47" s="10" t="inlineStr">
        <is>
          <t>ya</t>
        </is>
      </c>
      <c r="I47" s="10" t="inlineStr">
        <is>
          <t>defense_primary</t>
        </is>
      </c>
      <c r="J47" s="10" t="inlineStr">
        <is>
          <t>MCP-IPE (MCP Interworking Proxy Entity)</t>
        </is>
      </c>
      <c r="K47" s="10" t="inlineStr">
        <is>
          <t>deterministic_policy</t>
        </is>
      </c>
      <c r="L47" s="10" t="inlineStr">
        <is>
          <t>Proxy interworking yang memvalidasi Personal Access Token (PAT) agen, mengikat AE-ID, dan menegakkan kebijakan kontrol akses (ACP) oneM2M deny-by-default.</t>
        </is>
      </c>
      <c r="M47" s="10" t="inlineStr">
        <is>
          <t>tidak</t>
        </is>
      </c>
      <c r="N47" s="10" t="inlineStr">
        <is>
          <t>gateway_proxy</t>
        </is>
      </c>
      <c r="O47" s="10" t="inlineStr">
        <is>
          <t>R1;R2;R3;R5</t>
        </is>
      </c>
      <c r="P47" s="10" t="inlineStr">
        <is>
          <t>C1;C3;OUT_OF_TAXONOMY:resource_abuse</t>
        </is>
      </c>
      <c r="Q47" s="10" t="inlineStr">
        <is>
          <t>C1;C3;OUT_OF_TAXONOMY:resource_abuse</t>
        </is>
      </c>
      <c r="R47" s="10" t="inlineStr">
        <is>
          <t>author_run</t>
        </is>
      </c>
      <c r="S47" s="10" t="n"/>
      <c r="T47" s="10" t="inlineStr">
        <is>
          <t>authors_own</t>
        </is>
      </c>
      <c r="U47" s="10" t="inlineStr">
        <is>
          <t>tidak</t>
        </is>
      </c>
      <c r="V47" s="10" t="n"/>
      <c r="W47" s="10" t="inlineStr">
        <is>
          <t>Sec. VI, Gbr 6, hal. 5-7</t>
        </is>
      </c>
      <c r="X47" s="10" t="inlineStr">
        <is>
          <t>none</t>
        </is>
      </c>
      <c r="Y47" s="10" t="inlineStr">
        <is>
          <t>dilaporkan: acceptance rate pada 100 percobaan per 8 skenario STRIDE (Gbr 6)</t>
        </is>
      </c>
      <c r="Z47" s="10" t="inlineStr">
        <is>
          <t>MCP-IPE (defense_primary, L1). Penegakan ACP deny-by-default (C1), autentikasi token tidak valid (C3), dan mitigasi rate-burst 429 flooding (STRIDE DoS -&gt; OUT_OF_TAXONOMY:resource_abuse) pada 8 skenario x 100 percobaan (Gbr 6).</t>
        </is>
      </c>
      <c r="AA47" s="11">
        <f>IF(I47="","",IF(OR(I47="attack",I47="survey_review",I47="benchmark_measurement",I47="position_other",I47="not_defense"),"n/a",IF(OR(X47="spec_normatif",X47="produksi_bukti_publik"),"L3",IF(ISNUMBER(SEARCH("independent",R47)),"L2",IF(R47="author_run","L1",IF(R47="none","L0",""))))))</f>
        <v/>
      </c>
      <c r="AB47" s="11">
        <f>IF(I47="","",IF(AND(K47="deterministic_policy",M47="ya"),"PERIKSA: deterministic_policy tetapi LLM/ML ada dalam keputusan. ","")&amp;IF(AND(U47="ya",V47=""),"PERIKSA: adaptif=ya wajib ada kutipan. ","")&amp;IF(AND(R47="none",U47&lt;&gt;"n/a_tanpa_evaluasi",U47&lt;&gt;""),"PERIKSA: tanpa evaluasi, adaptif harus n/a. ","")&amp;IF(AND(OR(R47="author_run",R47="author_run+independent",R47="independent_only"),Q47=""),"PERIKSA: isi kelas_dievaluasi. ","")&amp;IF(AND(OR(R47="author_run",R47="author_run+independent",R47="independent_only"),W47=""),"PERIKSA: isi lokasi_bukti. ","")&amp;IF(AND(H47="tidak",R47&lt;&gt;""),"PERIKSA: tanpa teks lengkap, kosongkan kolom evaluasi. ",""))</f>
        <v/>
      </c>
      <c r="AC47" t="inlineStr">
        <is>
          <t>include</t>
        </is>
      </c>
    </row>
    <row r="48" ht="409.6" customHeight="1" s="21">
      <c r="A48" s="8" t="inlineStr">
        <is>
          <t>jayson-2026-security-defense-mechanisms-model-context</t>
        </is>
      </c>
      <c r="B48" s="8" t="inlineStr">
        <is>
          <t>Security Defense Mechanisms in Model Context Protocol Implementations: A Systematic Literature Review</t>
        </is>
      </c>
      <c r="C48" s="8" t="n">
        <v>2026</v>
      </c>
      <c r="D48" s="8" t="inlineStr">
        <is>
          <t>E1</t>
        </is>
      </c>
      <c r="E48" s="8" t="inlineStr">
        <is>
          <t>kandidat_agent</t>
        </is>
      </c>
      <c r="F48" s="8" t="inlineStr">
        <is>
          <t>proposal_only</t>
        </is>
      </c>
      <c r="G48" s="9" t="inlineStr">
        <is>
          <t>https://doi.org/10.1007/978-3-032-25187-9_44</t>
        </is>
      </c>
      <c r="H48" s="10" t="inlineStr">
        <is>
          <t>ya</t>
        </is>
      </c>
      <c r="I48" s="10" t="inlineStr">
        <is>
          <t>survey_review</t>
        </is>
      </c>
      <c r="J48" s="10" t="n"/>
      <c r="K48" s="10" t="n"/>
      <c r="L48" s="10" t="n"/>
      <c r="M48" s="10" t="n"/>
      <c r="N48" s="10" t="n"/>
      <c r="O48" s="10" t="n"/>
      <c r="P48" s="10" t="n"/>
      <c r="Q48" s="10" t="n"/>
      <c r="R48" s="10" t="n"/>
      <c r="S48" s="10" t="n"/>
      <c r="T48" s="10" t="n"/>
      <c r="U48" s="10" t="n"/>
      <c r="V48" s="10" t="n"/>
      <c r="W48" s="10" t="n"/>
      <c r="X48" s="10" t="n"/>
      <c r="Y48" s="10" t="n"/>
      <c r="Z48" s="10" t="inlineStr">
        <is>
          <t>Teks lengkap tersedia di papers/springer. Tinjauan literatur sistematis (PRISMA) atas 73 studi pertahanan MCP (2022-2025). Mengonfirmasi hanya 23.3% studi melaporkan efektivitas kuantitatif.</t>
        </is>
      </c>
      <c r="AA48" s="11">
        <f>IF(I48="","",IF(OR(I48="attack",I48="survey_review",I48="benchmark_measurement",I48="position_other",I48="not_defense"),"n/a",IF(OR(X48="spec_normatif",X48="produksi_bukti_publik"),"L3",IF(ISNUMBER(SEARCH("independent",R48)),"L2",IF(R48="author_run","L1",IF(R48="none","L0",""))))))</f>
        <v/>
      </c>
      <c r="AB48" s="11">
        <f>IF(I48="","",IF(AND(K48="deterministic_policy",M48="ya"),"PERIKSA: deterministic_policy tetapi LLM/ML ada dalam keputusan. ","")&amp;IF(AND(U48="ya",V48=""),"PERIKSA: adaptif=ya wajib ada kutipan. ","")&amp;IF(AND(R48="none",U48&lt;&gt;"n/a_tanpa_evaluasi",U48&lt;&gt;""),"PERIKSA: tanpa evaluasi, adaptif harus n/a. ","")&amp;IF(AND(OR(R48="author_run",R48="author_run+independent",R48="independent_only"),Q48=""),"PERIKSA: isi kelas_dievaluasi. ","")&amp;IF(AND(OR(R48="author_run",R48="author_run+independent",R48="independent_only"),W48=""),"PERIKSA: isi lokasi_bukti. ","")&amp;IF(AND(H48="tidak",R48&lt;&gt;""),"PERIKSA: tanpa teks lengkap, kosongkan kolom evaluasi. ",""))</f>
        <v/>
      </c>
      <c r="AC48" t="inlineStr">
        <is>
          <t>include</t>
        </is>
      </c>
    </row>
    <row r="49" ht="381.75" customHeight="1" s="21">
      <c r="A49" s="8" t="inlineStr">
        <is>
          <t>junfeng-2025-we-should-identify-mitigate-third</t>
        </is>
      </c>
      <c r="B49" s="8" t="inlineStr">
        <is>
          <t>We Should Identify and Mitigate Third-Party Safety Risks in MCP-Powered Agent Systems</t>
        </is>
      </c>
      <c r="C49" s="8" t="n">
        <v>2025</v>
      </c>
      <c r="D49" s="8" t="inlineStr">
        <is>
          <t>E2</t>
        </is>
      </c>
      <c r="E49" s="8" t="inlineStr">
        <is>
          <t>kandidat_agent</t>
        </is>
      </c>
      <c r="F49" s="8" t="inlineStr">
        <is>
          <t>proposal_only</t>
        </is>
      </c>
      <c r="G49" s="9" t="inlineStr">
        <is>
          <t>https://arxiv.org/abs/2506.13666</t>
        </is>
      </c>
      <c r="H49" s="10" t="inlineStr">
        <is>
          <t>ya</t>
        </is>
      </c>
      <c r="I49" s="10" t="inlineStr">
        <is>
          <t>position_other</t>
        </is>
      </c>
      <c r="J49" s="10" t="n"/>
      <c r="K49" s="10" t="n"/>
      <c r="L49" s="10" t="n"/>
      <c r="M49" s="10" t="n"/>
      <c r="N49" s="10" t="n"/>
      <c r="O49" s="10" t="n"/>
      <c r="P49" s="10" t="n"/>
      <c r="Q49" s="10" t="n"/>
      <c r="R49" s="10" t="n"/>
      <c r="S49" s="10" t="n"/>
      <c r="T49" s="10" t="n"/>
      <c r="U49" s="10" t="n"/>
      <c r="V49" s="10" t="n"/>
      <c r="W49" s="10" t="n"/>
      <c r="X49" s="10" t="n"/>
      <c r="Y49" s="10" t="n"/>
      <c r="Z49" s="10" t="inlineStr">
        <is>
          <t>Makalah posisi (position paper) dari NUS &amp; USTC yang menyoroti risiko keselamatan pihak ketiga pada sistem agen MCP dan mengusulkan kerangka diagnostik/benchmark SAFEMCP serta agenda riset masa depan. Bukan usulan mekanisme mitigasi baru.</t>
        </is>
      </c>
      <c r="AA49" s="11">
        <f>IF(I49="","",IF(OR(I49="attack",I49="survey_review",I49="benchmark_measurement",I49="position_other",I49="not_defense"),"n/a",IF(OR(X49="spec_normatif",X49="produksi_bukti_publik"),"L3",IF(ISNUMBER(SEARCH("independent",R49)),"L2",IF(R49="author_run","L1",IF(R49="none","L0",""))))))</f>
        <v/>
      </c>
      <c r="AB49" s="11">
        <f>IF(I49="","",IF(AND(K49="deterministic_policy",M49="ya"),"PERIKSA: deterministic_policy tetapi LLM/ML ada dalam keputusan. ","")&amp;IF(AND(U49="ya",V49=""),"PERIKSA: adaptif=ya wajib ada kutipan. ","")&amp;IF(AND(R49="none",U49&lt;&gt;"n/a_tanpa_evaluasi",U49&lt;&gt;""),"PERIKSA: tanpa evaluasi, adaptif harus n/a. ","")&amp;IF(AND(OR(R49="author_run",R49="author_run+independent",R49="independent_only"),Q49=""),"PERIKSA: isi kelas_dievaluasi. ","")&amp;IF(AND(OR(R49="author_run",R49="author_run+independent",R49="independent_only"),W49=""),"PERIKSA: isi lokasi_bukti. ","")&amp;IF(AND(H49="tidak",R49&lt;&gt;""),"PERIKSA: tanpa teks lengkap, kosongkan kolom evaluasi. ",""))</f>
        <v/>
      </c>
      <c r="AC49" t="inlineStr">
        <is>
          <t>include</t>
        </is>
      </c>
    </row>
    <row r="50" ht="336.75" customHeight="1" s="21">
      <c r="A50" s="8" t="inlineStr">
        <is>
          <t>l-2025-mcp-security-notification-tool-poisoning</t>
        </is>
      </c>
      <c r="B50" s="8" t="inlineStr">
        <is>
          <t>MCP Security Notification: Tool Poisoning Attacks</t>
        </is>
      </c>
      <c r="C50" s="8" t="n">
        <v>2025</v>
      </c>
      <c r="D50" s="8" t="inlineStr">
        <is>
          <t>E4</t>
        </is>
      </c>
      <c r="E50" s="8" t="inlineStr">
        <is>
          <t>kandidat_agent</t>
        </is>
      </c>
      <c r="F50" s="8" t="inlineStr">
        <is>
          <t>proposal_only</t>
        </is>
      </c>
      <c r="G50" s="8" t="n"/>
      <c r="H50" s="10" t="inlineStr">
        <is>
          <t>ya</t>
        </is>
      </c>
      <c r="I50" s="10" t="inlineStr">
        <is>
          <t>attack</t>
        </is>
      </c>
      <c r="J50" s="10" t="n"/>
      <c r="K50" s="10" t="n"/>
      <c r="L50" s="10" t="n"/>
      <c r="M50" s="10" t="n"/>
      <c r="N50" s="10" t="n"/>
      <c r="O50" s="10" t="n"/>
      <c r="P50" s="10" t="n"/>
      <c r="Q50" s="10" t="n"/>
      <c r="R50" s="10" t="n"/>
      <c r="S50" s="10" t="n"/>
      <c r="T50" s="10" t="n"/>
      <c r="U50" s="10" t="n"/>
      <c r="V50" s="10" t="n"/>
      <c r="W50" s="10" t="n"/>
      <c r="X50" s="10" t="n"/>
      <c r="Y50" s="10" t="n"/>
      <c r="Z50" s="10" t="inlineStr">
        <is>
          <t>Notifikasi keamanan industri / security advisory dari Invariant Labs (Tier E4) yang mendemonstrasikan serangan tool poisoning, shadowing, dan rug pulls pada klien MCP (Cursor). Sesuai Pedoman, dikodekan sebagai attack.</t>
        </is>
      </c>
      <c r="AA50" s="11">
        <f>IF(I50="","",IF(OR(I50="attack",I50="survey_review",I50="benchmark_measurement",I50="position_other",I50="not_defense"),"n/a",IF(OR(X50="spec_normatif",X50="produksi_bukti_publik"),"L3",IF(ISNUMBER(SEARCH("independent",R50)),"L2",IF(R50="author_run","L1",IF(R50="none","L0",""))))))</f>
        <v/>
      </c>
      <c r="AB50" s="11">
        <f>IF(I50="","",IF(AND(K50="deterministic_policy",M50="ya"),"PERIKSA: deterministic_policy tetapi LLM/ML ada dalam keputusan. ","")&amp;IF(AND(U50="ya",V50=""),"PERIKSA: adaptif=ya wajib ada kutipan. ","")&amp;IF(AND(R50="none",U50&lt;&gt;"n/a_tanpa_evaluasi",U50&lt;&gt;""),"PERIKSA: tanpa evaluasi, adaptif harus n/a. ","")&amp;IF(AND(OR(R50="author_run",R50="author_run+independent",R50="independent_only"),Q50=""),"PERIKSA: isi kelas_dievaluasi. ","")&amp;IF(AND(OR(R50="author_run",R50="author_run+independent",R50="independent_only"),W50=""),"PERIKSA: isi lokasi_bukti. ","")&amp;IF(AND(H50="tidak",R50&lt;&gt;""),"PERIKSA: tanpa teks lengkap, kosongkan kolom evaluasi. ",""))</f>
        <v/>
      </c>
      <c r="AC50" t="inlineStr">
        <is>
          <t>include</t>
        </is>
      </c>
    </row>
    <row r="51" ht="325.5" customHeight="1" s="21">
      <c r="A51" s="8" t="inlineStr">
        <is>
          <t>llu-2026-trustworthy-model-context-protocol-mcp</t>
        </is>
      </c>
      <c r="B51" s="8" t="inlineStr">
        <is>
          <t>The Trustworthy Model Context Protocol (MCP) Registry: An Architectural Blueprint for Cryptographic Provenance and Runtime Integrity</t>
        </is>
      </c>
      <c r="C51" s="8" t="n">
        <v>2026</v>
      </c>
      <c r="D51" s="8" t="inlineStr">
        <is>
          <t>E1</t>
        </is>
      </c>
      <c r="E51" s="8" t="inlineStr">
        <is>
          <t>kandidat_agent</t>
        </is>
      </c>
      <c r="F51" s="8" t="inlineStr">
        <is>
          <t>proposal_only</t>
        </is>
      </c>
      <c r="G51" s="9" t="inlineStr">
        <is>
          <t>https://doi.org/10.3390/fi18050243</t>
        </is>
      </c>
      <c r="H51" s="10" t="inlineStr">
        <is>
          <t>ya</t>
        </is>
      </c>
      <c r="I51" s="10" t="inlineStr">
        <is>
          <t>defense_primary</t>
        </is>
      </c>
      <c r="J51" s="10" t="inlineStr">
        <is>
          <t>proto-mcp (Trustworthy MCP Registry)</t>
        </is>
      </c>
      <c r="K51" s="10" t="inlineStr">
        <is>
          <t>integrity_provenance</t>
        </is>
      </c>
      <c r="L51" s="10" t="inlineStr">
        <is>
          <t>Arsitektur registri terpercaya tiga lapis berbasis dokumen /.well-known/mcp.json, Sigstore keyless signing, log transparansi, dan validasi tanda tangan JWK runtime untuk mencegah mutasi kapabilitas dan serangan rug pull.</t>
        </is>
      </c>
      <c r="M51" s="10" t="inlineStr">
        <is>
          <t>tidak</t>
        </is>
      </c>
      <c r="N51" s="10" t="inlineStr">
        <is>
          <t>registry</t>
        </is>
      </c>
      <c r="O51" s="10" t="inlineStr">
        <is>
          <t>R7</t>
        </is>
      </c>
      <c r="P51" s="10" t="inlineStr">
        <is>
          <t>B1;B2;D3</t>
        </is>
      </c>
      <c r="Q51" s="10" t="inlineStr">
        <is>
          <t>B1</t>
        </is>
      </c>
      <c r="R51" s="10" t="inlineStr">
        <is>
          <t>author_run</t>
        </is>
      </c>
      <c r="S51" s="10" t="n"/>
      <c r="T51" s="10" t="inlineStr">
        <is>
          <t>authors_own</t>
        </is>
      </c>
      <c r="U51" s="10" t="inlineStr">
        <is>
          <t>tidak</t>
        </is>
      </c>
      <c r="V51" s="10" t="n"/>
      <c r="W51" s="10" t="inlineStr">
        <is>
          <t>Sec. 4-5; hal. 8-12</t>
        </is>
      </c>
      <c r="X51" s="10" t="inlineStr">
        <is>
          <t>none</t>
        </is>
      </c>
      <c r="Y51" s="10" t="inlineStr">
        <is>
          <t>overhead tanda tangan kriptografis 0.61 ms per operasi (Sec. 5)</t>
        </is>
      </c>
      <c r="Z51" s="10" t="inlineStr">
        <is>
          <t>Teks lengkap MDPI Future Internet (18(5), 243). Evaluasi author_run prototipe proto-mcp terhadap 100 simulasi serangan rug pull (B1): 100% ditolak; overhead penandatanganan kriptografis 0.61 ms. Catatan deployment: prototipe internal/eksperimental (belum dirilis secara publik).</t>
        </is>
      </c>
      <c r="AA51" s="11">
        <f>IF(I51="","",IF(OR(I51="attack",I51="survey_review",I51="benchmark_measurement",I51="position_other",I51="not_defense"),"n/a",IF(OR(X51="spec_normatif",X51="produksi_bukti_publik"),"L3",IF(ISNUMBER(SEARCH("independent",R51)),"L2",IF(R51="author_run","L1",IF(R51="none","L0",""))))))</f>
        <v/>
      </c>
      <c r="AB51" s="11">
        <f>IF(I51="","",IF(AND(K51="deterministic_policy",M51="ya"),"PERIKSA: deterministic_policy tetapi LLM/ML ada dalam keputusan. ","")&amp;IF(AND(U51="ya",V51=""),"PERIKSA: adaptif=ya wajib ada kutipan. ","")&amp;IF(AND(R51="none",U51&lt;&gt;"n/a_tanpa_evaluasi",U51&lt;&gt;""),"PERIKSA: tanpa evaluasi, adaptif harus n/a. ","")&amp;IF(AND(OR(R51="author_run",R51="author_run+independent",R51="independent_only"),Q51=""),"PERIKSA: isi kelas_dievaluasi. ","")&amp;IF(AND(OR(R51="author_run",R51="author_run+independent",R51="independent_only"),W51=""),"PERIKSA: isi lokasi_bukti. ","")&amp;IF(AND(H51="tidak",R51&lt;&gt;""),"PERIKSA: tanpa teks lengkap, kosongkan kolom evaluasi. ",""))</f>
        <v/>
      </c>
      <c r="AC51" t="inlineStr">
        <is>
          <t>include</t>
        </is>
      </c>
    </row>
    <row r="52" ht="409.6" customHeight="1" s="21">
      <c r="A52" s="8" t="inlineStr">
        <is>
          <t>manish-2026-model-context-protocol-security-landscape</t>
        </is>
      </c>
      <c r="B52" s="8" t="inlineStr">
        <is>
          <t>The Model Context Protocol Security Landscape: A Systematic Analysis of Inherent Vulnerabilities and Defensive Inadequacies</t>
        </is>
      </c>
      <c r="C52" s="8" t="n">
        <v>2026</v>
      </c>
      <c r="D52" s="8" t="inlineStr">
        <is>
          <t>E1</t>
        </is>
      </c>
      <c r="E52" s="8" t="inlineStr">
        <is>
          <t>kandidat_agent</t>
        </is>
      </c>
      <c r="F52" s="8" t="inlineStr">
        <is>
          <t>proposal_only</t>
        </is>
      </c>
      <c r="G52" s="9" t="inlineStr">
        <is>
          <t>https://doi.org/10.1007/978-3-032-31998-2_13</t>
        </is>
      </c>
      <c r="H52" s="10" t="inlineStr">
        <is>
          <t>ya</t>
        </is>
      </c>
      <c r="I52" s="10" t="inlineStr">
        <is>
          <t>survey_review</t>
        </is>
      </c>
      <c r="J52" s="10" t="n"/>
      <c r="K52" s="10" t="n"/>
      <c r="L52" s="10" t="n"/>
      <c r="M52" s="10" t="n"/>
      <c r="N52" s="10" t="n"/>
      <c r="O52" s="10" t="n"/>
      <c r="P52" s="10" t="n"/>
      <c r="Q52" s="10" t="n"/>
      <c r="R52" s="10" t="n"/>
      <c r="S52" s="10" t="n"/>
      <c r="T52" s="10" t="n"/>
      <c r="U52" s="10" t="n"/>
      <c r="V52" s="10" t="n"/>
      <c r="W52" s="10" t="n"/>
      <c r="X52" s="10" t="n"/>
      <c r="Y52" s="10" t="n"/>
      <c r="Z52" s="10" t="inlineStr">
        <is>
          <t>Teks lengkap tersedia di papers/springer. Survei sistematis 18 studi akademik kunci (2024-2025) dan mengusulkan MCP Inherent Risk Taxonomy (MIRT).</t>
        </is>
      </c>
      <c r="AA52" s="11">
        <f>IF(I52="","",IF(OR(I52="attack",I52="survey_review",I52="benchmark_measurement",I52="position_other",I52="not_defense"),"n/a",IF(OR(X52="spec_normatif",X52="produksi_bukti_publik"),"L3",IF(ISNUMBER(SEARCH("independent",R52)),"L2",IF(R52="author_run","L1",IF(R52="none","L0",""))))))</f>
        <v/>
      </c>
      <c r="AB52" s="11">
        <f>IF(I52="","",IF(AND(K52="deterministic_policy",M52="ya"),"PERIKSA: deterministic_policy tetapi LLM/ML ada dalam keputusan. ","")&amp;IF(AND(U52="ya",V52=""),"PERIKSA: adaptif=ya wajib ada kutipan. ","")&amp;IF(AND(R52="none",U52&lt;&gt;"n/a_tanpa_evaluasi",U52&lt;&gt;""),"PERIKSA: tanpa evaluasi, adaptif harus n/a. ","")&amp;IF(AND(OR(R52="author_run",R52="author_run+independent",R52="independent_only"),Q52=""),"PERIKSA: isi kelas_dievaluasi. ","")&amp;IF(AND(OR(R52="author_run",R52="author_run+independent",R52="independent_only"),W52=""),"PERIKSA: isi lokasi_bukti. ","")&amp;IF(AND(H52="tidak",R52&lt;&gt;""),"PERIKSA: tanpa teks lengkap, kosongkan kolom evaluasi. ",""))</f>
        <v/>
      </c>
      <c r="AC52" t="inlineStr">
        <is>
          <t>include</t>
        </is>
      </c>
    </row>
    <row r="53" ht="409.6" customHeight="1" s="21">
      <c r="A53" s="8" t="inlineStr">
        <is>
          <t>mehrdad-2026-mcp-dpt-defense-placement-taxonomy</t>
        </is>
      </c>
      <c r="B53" s="8" t="inlineStr">
        <is>
          <t>MCP-DPT: A Defense-Placement Taxonomy and Coverage Analysis for Model Context Protocol Security</t>
        </is>
      </c>
      <c r="C53" s="8" t="n">
        <v>2026</v>
      </c>
      <c r="D53" s="8" t="inlineStr">
        <is>
          <t>E2</t>
        </is>
      </c>
      <c r="E53" s="8" t="inlineStr">
        <is>
          <t>kandidat_agent</t>
        </is>
      </c>
      <c r="F53" s="8" t="inlineStr">
        <is>
          <t>proposal_only</t>
        </is>
      </c>
      <c r="G53" s="9" t="inlineStr">
        <is>
          <t>https://arxiv.org/abs/2604.07551</t>
        </is>
      </c>
      <c r="H53" s="10" t="inlineStr">
        <is>
          <t>ya</t>
        </is>
      </c>
      <c r="I53" s="10" t="inlineStr">
        <is>
          <t>survey_review</t>
        </is>
      </c>
      <c r="J53" s="10" t="n"/>
      <c r="K53" s="10" t="n"/>
      <c r="L53" s="10" t="n"/>
      <c r="M53" s="10" t="n"/>
      <c r="N53" s="10" t="n"/>
      <c r="O53" s="10" t="n"/>
      <c r="P53" s="10" t="n"/>
      <c r="Q53" s="10" t="n"/>
      <c r="R53" s="10" t="n"/>
      <c r="S53" s="10" t="n"/>
      <c r="T53" s="10" t="n"/>
      <c r="U53" s="10" t="n"/>
      <c r="V53" s="10" t="n"/>
      <c r="W53" s="10" t="n"/>
      <c r="X53" s="10" t="n"/>
      <c r="Y53" s="10" t="n"/>
      <c r="Z53" s="10" t="inlineStr">
        <is>
          <t>KODER 1 menandai teks lengkap. Makalah taksonomi dan tinjauan pemetaan pertahanan (Systematization of Knowledge) mengenai penempatan pertahanan keamanan MCP (MCP-DPT) yang memetakan pertahanan industri dan akademis yang ada. Sesuai Pedoman, dikodekan sebagai survey_review.</t>
        </is>
      </c>
      <c r="AA53" s="11">
        <f>IF(I53="","",IF(OR(I53="attack",I53="survey_review",I53="benchmark_measurement",I53="position_other",I53="not_defense"),"n/a",IF(OR(X53="spec_normatif",X53="produksi_bukti_publik"),"L3",IF(ISNUMBER(SEARCH("independent",R53)),"L2",IF(R53="author_run","L1",IF(R53="none","L0",""))))))</f>
        <v/>
      </c>
      <c r="AB53" s="11">
        <f>IF(I53="","",IF(AND(K53="deterministic_policy",M53="ya"),"PERIKSA: deterministic_policy tetapi LLM/ML ada dalam keputusan. ","")&amp;IF(AND(U53="ya",V53=""),"PERIKSA: adaptif=ya wajib ada kutipan. ","")&amp;IF(AND(R53="none",U53&lt;&gt;"n/a_tanpa_evaluasi",U53&lt;&gt;""),"PERIKSA: tanpa evaluasi, adaptif harus n/a. ","")&amp;IF(AND(OR(R53="author_run",R53="author_run+independent",R53="independent_only"),Q53=""),"PERIKSA: isi kelas_dievaluasi. ","")&amp;IF(AND(OR(R53="author_run",R53="author_run+independent",R53="independent_only"),W53=""),"PERIKSA: isi lokasi_bukti. ","")&amp;IF(AND(H53="tidak",R53&lt;&gt;""),"PERIKSA: tanpa teks lengkap, kosongkan kolom evaluasi. ",""))</f>
        <v/>
      </c>
      <c r="AC53" t="inlineStr">
        <is>
          <t>include</t>
        </is>
      </c>
    </row>
    <row r="54" ht="409.6" customHeight="1" s="21">
      <c r="A54" s="8" t="inlineStr">
        <is>
          <t>michelle-2025-missing-securing-model-context-protocol</t>
        </is>
      </c>
      <c r="B54" s="8" t="inlineStr">
        <is>
          <t>The Missing S: Securing the Model Context Protocol</t>
        </is>
      </c>
      <c r="C54" s="8" t="n">
        <v>2025</v>
      </c>
      <c r="D54" s="8" t="inlineStr">
        <is>
          <t>E1</t>
        </is>
      </c>
      <c r="E54" s="8" t="inlineStr">
        <is>
          <t>kandidat_agent</t>
        </is>
      </c>
      <c r="F54" s="8" t="inlineStr">
        <is>
          <t>proposal_only</t>
        </is>
      </c>
      <c r="G54" s="9" t="inlineStr">
        <is>
          <t>https://doi.org/10.1109/ICoAIT67446.2025.11308830</t>
        </is>
      </c>
      <c r="H54" s="10" t="inlineStr">
        <is>
          <t>ya</t>
        </is>
      </c>
      <c r="I54" s="10" t="inlineStr">
        <is>
          <t>defense_primary</t>
        </is>
      </c>
      <c r="J54" s="10" t="inlineStr">
        <is>
          <t>Missing S / DistilBERT Command Injection Detector</t>
        </is>
      </c>
      <c r="K54" s="10" t="inlineStr">
        <is>
          <t>content_inspection_runtime</t>
        </is>
      </c>
      <c r="L54" s="10" t="inlineStr">
        <is>
          <t>Detektor injeksi perintah runtime berbasis model Transformer (DistilBERT fine-tuned) untuk memeriksa argumen pemanggilan tool pada protokol MCP.</t>
        </is>
      </c>
      <c r="M54" s="10" t="inlineStr">
        <is>
          <t>ya</t>
        </is>
      </c>
      <c r="N54" s="10" t="inlineStr">
        <is>
          <t>gateway_proxy</t>
        </is>
      </c>
      <c r="O54" s="10" t="inlineStr">
        <is>
          <t>R2;R5</t>
        </is>
      </c>
      <c r="P54" s="10" t="inlineStr">
        <is>
          <t>C5</t>
        </is>
      </c>
      <c r="Q54" s="10" t="inlineStr">
        <is>
          <t>C5</t>
        </is>
      </c>
      <c r="R54" s="10" t="inlineStr">
        <is>
          <t>author_run</t>
        </is>
      </c>
      <c r="S54" s="10" t="n"/>
      <c r="T54" s="10" t="inlineStr">
        <is>
          <t>authors_own</t>
        </is>
      </c>
      <c r="U54" s="10" t="inlineStr">
        <is>
          <t>tidak</t>
        </is>
      </c>
      <c r="V54" s="10" t="n"/>
      <c r="W54" s="10" t="inlineStr">
        <is>
          <t>Sec. IV, Tabel II, hal. 4-5</t>
        </is>
      </c>
      <c r="X54" s="10" t="inlineStr">
        <is>
          <t>prototype_open_source</t>
        </is>
      </c>
      <c r="Y54" s="10" t="inlineStr">
        <is>
          <t>akurasi 99.92%, precision 99.85%, recall 100% pada 2.400 sampel uji</t>
        </is>
      </c>
      <c r="Z54" s="10" t="inlineStr">
        <is>
          <t>Teks lengkap tersedia di papers/ieee. Kode dan model tersedia publik di https://github.com/chelleajax/Securing-the-MCP.</t>
        </is>
      </c>
      <c r="AA54" s="11">
        <f>IF(I54="","",IF(OR(I54="attack",I54="survey_review",I54="benchmark_measurement",I54="position_other",I54="not_defense"),"n/a",IF(OR(X54="spec_normatif",X54="produksi_bukti_publik"),"L3",IF(ISNUMBER(SEARCH("independent",R54)),"L2",IF(R54="author_run","L1",IF(R54="none","L0",""))))))</f>
        <v/>
      </c>
      <c r="AB54" s="11">
        <f>IF(I54="","",IF(AND(K54="deterministic_policy",M54="ya"),"PERIKSA: deterministic_policy tetapi LLM/ML ada dalam keputusan. ","")&amp;IF(AND(U54="ya",V54=""),"PERIKSA: adaptif=ya wajib ada kutipan. ","")&amp;IF(AND(R54="none",U54&lt;&gt;"n/a_tanpa_evaluasi",U54&lt;&gt;""),"PERIKSA: tanpa evaluasi, adaptif harus n/a. ","")&amp;IF(AND(OR(R54="author_run",R54="author_run+independent",R54="independent_only"),Q54=""),"PERIKSA: isi kelas_dievaluasi. ","")&amp;IF(AND(OR(R54="author_run",R54="author_run+independent",R54="independent_only"),W54=""),"PERIKSA: isi lokasi_bukti. ","")&amp;IF(AND(H54="tidak",R54&lt;&gt;""),"PERIKSA: tanpa teks lengkap, kosongkan kolom evaluasi. ",""))</f>
        <v/>
      </c>
      <c r="AC54" t="inlineStr">
        <is>
          <t>include</t>
        </is>
      </c>
    </row>
    <row r="55" ht="409.6" customHeight="1" s="21">
      <c r="A55" s="8" t="inlineStr">
        <is>
          <t>nisharg-2025-model-context-protocol-mcp-lightweight</t>
        </is>
      </c>
      <c r="B55" s="8" t="inlineStr">
        <is>
          <t>Model Context Protocol (MCP): A Lightweight, Modular Framework for Tool-Augmented LLM Agents</t>
        </is>
      </c>
      <c r="C55" s="8" t="n">
        <v>2025</v>
      </c>
      <c r="D55" s="8" t="inlineStr">
        <is>
          <t>E1</t>
        </is>
      </c>
      <c r="E55" s="8" t="inlineStr">
        <is>
          <t>kandidat_agent</t>
        </is>
      </c>
      <c r="F55" s="8" t="inlineStr">
        <is>
          <t>proposal_only</t>
        </is>
      </c>
      <c r="G55" s="9" t="inlineStr">
        <is>
          <t>https://doi.org/10.1109/ISED67359.2025.11405153</t>
        </is>
      </c>
      <c r="H55" s="10" t="inlineStr">
        <is>
          <t>tidak</t>
        </is>
      </c>
      <c r="I55" s="10" t="inlineStr">
        <is>
          <t>position_other</t>
        </is>
      </c>
      <c r="J55" s="10" t="n"/>
      <c r="K55" s="10" t="n"/>
      <c r="L55" s="10" t="n"/>
      <c r="M55" s="10" t="n"/>
      <c r="N55" s="10" t="n"/>
      <c r="O55" s="10" t="n"/>
      <c r="P55" s="10" t="n"/>
      <c r="Q55" s="10" t="n"/>
      <c r="R55" s="10" t="n"/>
      <c r="S55" s="10" t="n"/>
      <c r="T55" s="10" t="n"/>
      <c r="U55" s="10" t="n"/>
      <c r="V55" s="10" t="n"/>
      <c r="W55" s="10" t="n"/>
      <c r="X55" s="10" t="n"/>
      <c r="Y55" s="10" t="n"/>
      <c r="Z55" s="10" t="inlineStr">
        <is>
          <t>[NON-OA / ABSTRACT-ONLY] Makalah IEEE ISED 2025 (DOI: 10.1109/ISED67359.2025.11405153). Makalah arsitektur rekayasa sistem/platform yang menyajikan gambaran umum MCP sebagai kerangka kerja modular untuk agen LLM dengan perkakas. Bukan usulan mekanisme mitigasi pertahanan serangan.</t>
        </is>
      </c>
      <c r="AA55" s="11">
        <f>IF(I55="","",IF(OR(I55="attack",I55="survey_review",I55="benchmark_measurement",I55="position_other",I55="not_defense"),"n/a",IF(OR(X55="spec_normatif",X55="produksi_bukti_publik"),"L3",IF(ISNUMBER(SEARCH("independent",R55)),"L2",IF(R55="author_run","L1",IF(R55="none","L0",""))))))</f>
        <v/>
      </c>
      <c r="AB55" s="11">
        <f>IF(I55="","",IF(AND(K55="deterministic_policy",M55="ya"),"PERIKSA: deterministic_policy tetapi LLM/ML ada dalam keputusan. ","")&amp;IF(AND(U55="ya",V55=""),"PERIKSA: adaptif=ya wajib ada kutipan. ","")&amp;IF(AND(R55="none",U55&lt;&gt;"n/a_tanpa_evaluasi",U55&lt;&gt;""),"PERIKSA: tanpa evaluasi, adaptif harus n/a. ","")&amp;IF(AND(OR(R55="author_run",R55="author_run+independent",R55="independent_only"),Q55=""),"PERIKSA: isi kelas_dievaluasi. ","")&amp;IF(AND(OR(R55="author_run",R55="author_run+independent",R55="independent_only"),W55=""),"PERIKSA: isi lokasi_bukti. ","")&amp;IF(AND(H55="tidak",R55&lt;&gt;""),"PERIKSA: tanpa teks lengkap, kosongkan kolom evaluasi. ",""))</f>
        <v/>
      </c>
      <c r="AC55" t="inlineStr">
        <is>
          <t>include</t>
        </is>
      </c>
    </row>
    <row r="56" ht="409.6" customHeight="1" s="21">
      <c r="A56" s="8" t="inlineStr">
        <is>
          <t>om-2025-comprehensive-security-framework-model-context</t>
        </is>
      </c>
      <c r="B56" s="8" t="inlineStr">
        <is>
          <t>A Comprehensive Security Framework for the Model Context Protocol (MCP) in Multi-Agent AI Systems</t>
        </is>
      </c>
      <c r="C56" s="8" t="n">
        <v>2025</v>
      </c>
      <c r="D56" s="8" t="inlineStr">
        <is>
          <t>E1</t>
        </is>
      </c>
      <c r="E56" s="8" t="inlineStr">
        <is>
          <t>kandidat_agent</t>
        </is>
      </c>
      <c r="F56" s="8" t="inlineStr">
        <is>
          <t>proposal_only</t>
        </is>
      </c>
      <c r="G56" s="9" t="inlineStr">
        <is>
          <t>https://doi.org/10.1109/acai68217.2025.11406667</t>
        </is>
      </c>
      <c r="H56" s="10" t="inlineStr">
        <is>
          <t>ya</t>
        </is>
      </c>
      <c r="I56" s="10" t="inlineStr">
        <is>
          <t>defense_primary</t>
        </is>
      </c>
      <c r="J56" s="10" t="inlineStr">
        <is>
          <t>Multi-Layer Security Framework (SecureFlow)</t>
        </is>
      </c>
      <c r="K56" s="10" t="inlineStr">
        <is>
          <t>deterministic_policy</t>
        </is>
      </c>
      <c r="L56" s="10" t="inlineStr">
        <is>
          <t>Kerangka pertahanan multi-layer untuk sistem multi-agen MCP yang memadukan OPA policy-as-code, scoped JWT, isolasi AgentNamespace, dan Saga state consistency.</t>
        </is>
      </c>
      <c r="M56" s="10" t="inlineStr">
        <is>
          <t>tidak</t>
        </is>
      </c>
      <c r="N56" s="10" t="inlineStr">
        <is>
          <t>gateway_proxy</t>
        </is>
      </c>
      <c r="O56" s="10" t="inlineStr">
        <is>
          <t>R1;R2;R3;R5;R7</t>
        </is>
      </c>
      <c r="P56" s="10" t="inlineStr">
        <is>
          <t>A1;A2;B1;B2;C1;C2;D1</t>
        </is>
      </c>
      <c r="Q56" s="10" t="n"/>
      <c r="R56" s="10" t="inlineStr">
        <is>
          <t>none</t>
        </is>
      </c>
      <c r="S56" s="10" t="n"/>
      <c r="T56" s="10" t="inlineStr">
        <is>
          <t>none</t>
        </is>
      </c>
      <c r="U56" s="10" t="inlineStr">
        <is>
          <t>n/a_tanpa_evaluasi</t>
        </is>
      </c>
      <c r="V56" s="10" t="n"/>
      <c r="W56" s="10" t="n"/>
      <c r="X56" s="10" t="inlineStr">
        <is>
          <t>none</t>
        </is>
      </c>
      <c r="Y56" s="10" t="inlineStr">
        <is>
          <t>not_reported</t>
        </is>
      </c>
      <c r="Z56" s="10" t="inlineStr">
        <is>
          <t>Multi-layer security framework (SecureFlow). Tidak ada data empiris di Sec IV-VI, dikodekan defense_primary L0 sesuai Addendum v1.2 Bagian 3.</t>
        </is>
      </c>
      <c r="AA56" s="11">
        <f>IF(I56="","",IF(OR(I56="attack",I56="survey_review",I56="benchmark_measurement",I56="position_other",I56="not_defense"),"n/a",IF(OR(X56="spec_normatif",X56="produksi_bukti_publik"),"L3",IF(ISNUMBER(SEARCH("independent",R56)),"L2",IF(R56="author_run","L1",IF(R56="none","L0",""))))))</f>
        <v/>
      </c>
      <c r="AB56" s="11">
        <f>IF(I56="","",IF(AND(K56="deterministic_policy",M56="ya"),"PERIKSA: deterministic_policy tetapi LLM/ML ada dalam keputusan. ","")&amp;IF(AND(U56="ya",V56=""),"PERIKSA: adaptif=ya wajib ada kutipan. ","")&amp;IF(AND(R56="none",U56&lt;&gt;"n/a_tanpa_evaluasi",U56&lt;&gt;""),"PERIKSA: tanpa evaluasi, adaptif harus n/a. ","")&amp;IF(AND(OR(R56="author_run",R56="author_run+independent",R56="independent_only"),Q56=""),"PERIKSA: isi kelas_dievaluasi. ","")&amp;IF(AND(OR(R56="author_run",R56="author_run+independent",R56="independent_only"),W56=""),"PERIKSA: isi lokasi_bukti. ","")&amp;IF(AND(H56="tidak",R56&lt;&gt;""),"PERIKSA: tanpa teks lengkap, kosongkan kolom evaluasi. ",""))</f>
        <v/>
      </c>
      <c r="AC56" t="inlineStr">
        <is>
          <t>include</t>
        </is>
      </c>
    </row>
    <row r="57" ht="409.6" customHeight="1" s="21">
      <c r="A57" s="8" t="inlineStr">
        <is>
          <t>rodrigo-2026-design-security-framework-multi-agent</t>
        </is>
      </c>
      <c r="B57" s="8" t="inlineStr">
        <is>
          <t>Design of a Security Framework for Multi-Agent Systems Based on Model Context Protocol in SOC Environments</t>
        </is>
      </c>
      <c r="C57" s="8" t="n">
        <v>2026</v>
      </c>
      <c r="D57" s="8" t="inlineStr">
        <is>
          <t>E1</t>
        </is>
      </c>
      <c r="E57" s="8" t="inlineStr">
        <is>
          <t>kandidat_agent</t>
        </is>
      </c>
      <c r="F57" s="8" t="inlineStr">
        <is>
          <t>proposal_only</t>
        </is>
      </c>
      <c r="G57" s="9" t="inlineStr">
        <is>
          <t>https://doi.org/10.3390/app16167915</t>
        </is>
      </c>
      <c r="H57" s="10" t="inlineStr">
        <is>
          <t>ya</t>
        </is>
      </c>
      <c r="I57" s="10" t="inlineStr">
        <is>
          <t>defense_primary</t>
        </is>
      </c>
      <c r="J57" s="10" t="inlineStr">
        <is>
          <t>SOC MCP Security Middleware</t>
        </is>
      </c>
      <c r="K57" s="10" t="inlineStr">
        <is>
          <t>deterministic_policy</t>
        </is>
      </c>
      <c r="L57" s="10" t="inlineStr">
        <is>
          <t>Middleware keamanan lima lapis (access control, rate limiting, validasi input/output, audit log) terintegrasi Wazuh SIEM untuk alur kerja multi-agen SOC.</t>
        </is>
      </c>
      <c r="M57" s="10" t="inlineStr">
        <is>
          <t>tidak</t>
        </is>
      </c>
      <c r="N57" s="10" t="inlineStr">
        <is>
          <t>gateway_proxy</t>
        </is>
      </c>
      <c r="O57" s="10" t="inlineStr">
        <is>
          <t>R1;R2;R7</t>
        </is>
      </c>
      <c r="P57" s="10" t="inlineStr">
        <is>
          <t>A1;A2;A3;B2;D3</t>
        </is>
      </c>
      <c r="Q57" s="10" t="inlineStr">
        <is>
          <t>A1;A2;B2</t>
        </is>
      </c>
      <c r="R57" s="10" t="inlineStr">
        <is>
          <t>author_run</t>
        </is>
      </c>
      <c r="S57" s="10" t="n"/>
      <c r="T57" s="10" t="inlineStr">
        <is>
          <t>authors_own</t>
        </is>
      </c>
      <c r="U57" s="10" t="inlineStr">
        <is>
          <t>tidak</t>
        </is>
      </c>
      <c r="V57" s="10" t="n"/>
      <c r="W57" s="10" t="inlineStr">
        <is>
          <t>Sec. 4-5; hal. 8-12</t>
        </is>
      </c>
      <c r="X57" s="10" t="inlineStr">
        <is>
          <t>none</t>
        </is>
      </c>
      <c r="Y57" s="10" t="inlineStr">
        <is>
          <t>dilaporkan: latensi middleware minimal pada pipeline SOC Wazuh (Sec. 5)</t>
        </is>
      </c>
      <c r="Z57" s="10" t="inlineStr">
        <is>
          <t>Teks lengkap MDPI Applied Sciences (16(16), 7915). Evaluasi author_run 600 eksekusi pada pipeline SOC terhubung Wazuh SIEM: memblokir 100% serangan teridentifikasi dari 29 vektor ancaman tanpa false rejections. Catatan deployment: prototipe internal/eksperimental (belum dirilis secara publik).</t>
        </is>
      </c>
      <c r="AA57" s="11">
        <f>IF(I57="","",IF(OR(I57="attack",I57="survey_review",I57="benchmark_measurement",I57="position_other",I57="not_defense"),"n/a",IF(OR(X57="spec_normatif",X57="produksi_bukti_publik"),"L3",IF(ISNUMBER(SEARCH("independent",R57)),"L2",IF(R57="author_run","L1",IF(R57="none","L0",""))))))</f>
        <v/>
      </c>
      <c r="AB57" s="11">
        <f>IF(I57="","",IF(AND(K57="deterministic_policy",M57="ya"),"PERIKSA: deterministic_policy tetapi LLM/ML ada dalam keputusan. ","")&amp;IF(AND(U57="ya",V57=""),"PERIKSA: adaptif=ya wajib ada kutipan. ","")&amp;IF(AND(R57="none",U57&lt;&gt;"n/a_tanpa_evaluasi",U57&lt;&gt;""),"PERIKSA: tanpa evaluasi, adaptif harus n/a. ","")&amp;IF(AND(OR(R57="author_run",R57="author_run+independent",R57="independent_only"),Q57=""),"PERIKSA: isi kelas_dievaluasi. ","")&amp;IF(AND(OR(R57="author_run",R57="author_run+independent",R57="independent_only"),W57=""),"PERIKSA: isi lokasi_bukti. ","")&amp;IF(AND(H57="tidak",R57&lt;&gt;""),"PERIKSA: tanpa teks lengkap, kosongkan kolom evaluasi. ",""))</f>
        <v/>
      </c>
      <c r="AC57" t="inlineStr">
        <is>
          <t>include</t>
        </is>
      </c>
    </row>
    <row r="58" ht="409.6" customHeight="1" s="21">
      <c r="A58" s="8" t="inlineStr">
        <is>
          <t>rohit-2024-model-context-protocol-mcp-security</t>
        </is>
      </c>
      <c r="B58" s="8" t="inlineStr">
        <is>
          <t>Model Context Protocol (MCP) Security and Tenancy Boundaries</t>
        </is>
      </c>
      <c r="C58" s="8" t="n">
        <v>2024</v>
      </c>
      <c r="D58" s="8" t="inlineStr">
        <is>
          <t>E1</t>
        </is>
      </c>
      <c r="E58" s="8" t="inlineStr">
        <is>
          <t>kandidat_agent</t>
        </is>
      </c>
      <c r="F58" s="8" t="inlineStr">
        <is>
          <t>proposal_only</t>
        </is>
      </c>
      <c r="G58" s="9" t="inlineStr">
        <is>
          <t>https://doi.org/10.63282/3050-9416.ijaibdcms-v5i1p118</t>
        </is>
      </c>
      <c r="H58" s="10" t="inlineStr">
        <is>
          <t>ya</t>
        </is>
      </c>
      <c r="I58" s="10" t="inlineStr">
        <is>
          <t>defense_primary</t>
        </is>
      </c>
      <c r="J58" s="10" t="inlineStr">
        <is>
          <t>Tenant-Aware MCP Framework</t>
        </is>
      </c>
      <c r="K58" s="10" t="inlineStr">
        <is>
          <t>deterministic_policy</t>
        </is>
      </c>
      <c r="L58" s="10" t="inlineStr">
        <is>
          <t>Kerangka keamanan multi-tenant MCP yang menerapkan penandaan konteks kriptografis (tenant_id, session_id), validasi kebijakan runtime OPA, dan isolasi Nitro Enclaves untuk mencegah context bleed antar-tenant.</t>
        </is>
      </c>
      <c r="M58" s="10" t="inlineStr">
        <is>
          <t>tidak</t>
        </is>
      </c>
      <c r="N58" s="10" t="inlineStr">
        <is>
          <t>gateway_proxy</t>
        </is>
      </c>
      <c r="O58" s="10" t="inlineStr">
        <is>
          <t>R2;R3;R5;R6</t>
        </is>
      </c>
      <c r="P58" s="10" t="inlineStr">
        <is>
          <t>A2;C2;C3;D1</t>
        </is>
      </c>
      <c r="Q58" s="10" t="inlineStr">
        <is>
          <t>A2;C2;D1</t>
        </is>
      </c>
      <c r="R58" s="10" t="inlineStr">
        <is>
          <t>author_run</t>
        </is>
      </c>
      <c r="S58" s="10" t="n"/>
      <c r="T58" s="10" t="inlineStr">
        <is>
          <t>authors_own</t>
        </is>
      </c>
      <c r="U58" s="10" t="inlineStr">
        <is>
          <t>tidak</t>
        </is>
      </c>
      <c r="V58" s="10" t="n"/>
      <c r="W58" s="10" t="inlineStr">
        <is>
          <t>Sec. 4.2; Sec. 5.1; hal. 184-186</t>
        </is>
      </c>
      <c r="X58" s="10" t="inlineStr">
        <is>
          <t>none</t>
        </is>
      </c>
      <c r="Y58" s="10" t="inlineStr">
        <is>
          <t>latensi +2.7% (Sec. 5.1.1, hal. 185) / latensi isolasi 35 ms ke 48 ms (Sec. 4.2.2, hal. 184)</t>
        </is>
      </c>
      <c r="Z58" s="10" t="inlineStr">
        <is>
          <t>Teks lengkap diunduh dari IJAIBDCMS (OJS). Simulasi &gt;10.000 runs, 1.000 concurrent tenants: mengeliminasi context leakage rate dari 2.6% ke 0% (Sec. 5.1.1); akurasi isolasi 99.97%; latensi overhead 2.7%.</t>
        </is>
      </c>
      <c r="AA58" s="11">
        <f>IF(I58="","",IF(OR(I58="attack",I58="survey_review",I58="benchmark_measurement",I58="position_other",I58="not_defense"),"n/a",IF(OR(X58="spec_normatif",X58="produksi_bukti_publik"),"L3",IF(ISNUMBER(SEARCH("independent",R58)),"L2",IF(R58="author_run","L1",IF(R58="none","L0",""))))))</f>
        <v/>
      </c>
      <c r="AB58" s="11">
        <f>IF(I58="","",IF(AND(K58="deterministic_policy",M58="ya"),"PERIKSA: deterministic_policy tetapi LLM/ML ada dalam keputusan. ","")&amp;IF(AND(U58="ya",V58=""),"PERIKSA: adaptif=ya wajib ada kutipan. ","")&amp;IF(AND(R58="none",U58&lt;&gt;"n/a_tanpa_evaluasi",U58&lt;&gt;""),"PERIKSA: tanpa evaluasi, adaptif harus n/a. ","")&amp;IF(AND(OR(R58="author_run",R58="author_run+independent",R58="independent_only"),Q58=""),"PERIKSA: isi kelas_dievaluasi. ","")&amp;IF(AND(OR(R58="author_run",R58="author_run+independent",R58="independent_only"),W58=""),"PERIKSA: isi lokasi_bukti. ","")&amp;IF(AND(H58="tidak",R58&lt;&gt;""),"PERIKSA: tanpa teks lengkap, kosongkan kolom evaluasi. ",""))</f>
        <v/>
      </c>
      <c r="AC58" t="inlineStr">
        <is>
          <t>include</t>
        </is>
      </c>
    </row>
    <row r="59" ht="336.75" customHeight="1" s="21">
      <c r="A59" s="8" t="inlineStr">
        <is>
          <t>s-2025-zero-trust-security-frameworks-model</t>
        </is>
      </c>
      <c r="B59" s="8" t="inlineStr">
        <is>
          <t>Zero-Trust Security Frameworks for Model Context Protocol (MCP) Server Communications</t>
        </is>
      </c>
      <c r="C59" s="8" t="n">
        <v>2025</v>
      </c>
      <c r="D59" s="8" t="inlineStr">
        <is>
          <t>E1</t>
        </is>
      </c>
      <c r="E59" s="8" t="inlineStr">
        <is>
          <t>kandidat_agent</t>
        </is>
      </c>
      <c r="F59" s="8" t="inlineStr">
        <is>
          <t>proposal_only</t>
        </is>
      </c>
      <c r="G59" s="9" t="inlineStr">
        <is>
          <t>https://doi.org/10.37082/ijirmps.v13.i6.232959</t>
        </is>
      </c>
      <c r="H59" s="10" t="inlineStr">
        <is>
          <t>ya</t>
        </is>
      </c>
      <c r="I59" s="10" t="inlineStr">
        <is>
          <t>proposal_only</t>
        </is>
      </c>
      <c r="J59" s="10" t="inlineStr">
        <is>
          <t>MCP Zero-Trust Architecture Framework</t>
        </is>
      </c>
      <c r="K59" s="10" t="inlineStr">
        <is>
          <t>deterministic_policy</t>
        </is>
      </c>
      <c r="L59" s="10" t="inlineStr">
        <is>
          <t>Kerangka kerja Zero-Trust Architecture (ZTA) untuk komunikasi server MCP yang menerapkan autentikasi mutual mTLS, mikro-segmentasi jaringan, penegakan kebijakan dinamis PDP/PEP, dan telemetri logging berkelanjutan.</t>
        </is>
      </c>
      <c r="M59" s="10" t="inlineStr">
        <is>
          <t>tidak</t>
        </is>
      </c>
      <c r="N59" s="10" t="inlineStr">
        <is>
          <t>gateway_proxy</t>
        </is>
      </c>
      <c r="O59" s="10" t="inlineStr">
        <is>
          <t>R1;R2;R4;R5;R6;R7</t>
        </is>
      </c>
      <c r="P59" s="10" t="inlineStr">
        <is>
          <t>A1;A2;A3;B1;B2;C3;D3</t>
        </is>
      </c>
      <c r="Q59" s="10" t="n"/>
      <c r="R59" s="10" t="inlineStr">
        <is>
          <t>none</t>
        </is>
      </c>
      <c r="S59" s="10" t="n"/>
      <c r="T59" s="10" t="inlineStr">
        <is>
          <t>none</t>
        </is>
      </c>
      <c r="U59" s="10" t="inlineStr">
        <is>
          <t>n/a_tanpa_evaluasi</t>
        </is>
      </c>
      <c r="V59" s="10" t="n"/>
      <c r="W59" s="10" t="inlineStr">
        <is>
          <t>Sec. 3 &amp; 4, hal. 4-6</t>
        </is>
      </c>
      <c r="X59" s="10" t="inlineStr">
        <is>
          <t>none</t>
        </is>
      </c>
      <c r="Y59" s="10" t="inlineStr">
        <is>
          <t>not_reported</t>
        </is>
      </c>
      <c r="Z59" s="10" t="inlineStr">
        <is>
          <t>Makalah usulan arsitektur zero-trust untuk komunikasi server MCP (PDP/PEP, mTLS, mikrosegmentasi) tanpa evaluasi empiris pertahanan terhadap dataset serangan. KODER 1 menandai teks lengkap.</t>
        </is>
      </c>
      <c r="AA59" s="11">
        <f>IF(I59="","",IF(OR(I59="attack",I59="survey_review",I59="benchmark_measurement",I59="position_other",I59="not_defense"),"n/a",IF(OR(X59="spec_normatif",X59="produksi_bukti_publik"),"L3",IF(ISNUMBER(SEARCH("independent",R59)),"L2",IF(R59="author_run","L1",IF(R59="none","L0",""))))))</f>
        <v/>
      </c>
      <c r="AB59" s="11">
        <f>IF(I59="","",IF(AND(K59="deterministic_policy",M59="ya"),"PERIKSA: deterministic_policy tetapi LLM/ML ada dalam keputusan. ","")&amp;IF(AND(U59="ya",V59=""),"PERIKSA: adaptif=ya wajib ada kutipan. ","")&amp;IF(AND(R59="none",U59&lt;&gt;"n/a_tanpa_evaluasi",U59&lt;&gt;""),"PERIKSA: tanpa evaluasi, adaptif harus n/a. ","")&amp;IF(AND(OR(R59="author_run",R59="author_run+independent",R59="independent_only"),Q59=""),"PERIKSA: isi kelas_dievaluasi. ","")&amp;IF(AND(OR(R59="author_run",R59="author_run+independent",R59="independent_only"),W59=""),"PERIKSA: isi lokasi_bukti. ","")&amp;IF(AND(H59="tidak",R59&lt;&gt;""),"PERIKSA: tanpa teks lengkap, kosongkan kolom evaluasi. ",""))</f>
        <v/>
      </c>
      <c r="AC59" t="inlineStr">
        <is>
          <t>include</t>
        </is>
      </c>
    </row>
    <row r="60" ht="409.6" customHeight="1" s="21">
      <c r="A60" s="8" t="inlineStr">
        <is>
          <t>sanjeeva-2026-security-threats-model-context-protocol</t>
        </is>
      </c>
      <c r="B60" s="8" t="inlineStr">
        <is>
          <t>Security Threats in the Model Context Protocol: A Comprehensive Survey and Trust Boundary Mitigation Framework for Agentic AI Systems</t>
        </is>
      </c>
      <c r="C60" s="8" t="n">
        <v>2026</v>
      </c>
      <c r="D60" s="8" t="inlineStr">
        <is>
          <t>E1</t>
        </is>
      </c>
      <c r="E60" s="8" t="inlineStr">
        <is>
          <t>kandidat_agent</t>
        </is>
      </c>
      <c r="F60" s="8" t="inlineStr">
        <is>
          <t>proposal_only</t>
        </is>
      </c>
      <c r="G60" s="9" t="inlineStr">
        <is>
          <t>https://doi.org/10.21275/sr26316110418</t>
        </is>
      </c>
      <c r="H60" s="10" t="inlineStr">
        <is>
          <t>tidak</t>
        </is>
      </c>
      <c r="I60" s="10" t="inlineStr">
        <is>
          <t>survey_review</t>
        </is>
      </c>
      <c r="J60" s="10" t="n"/>
      <c r="K60" s="10" t="n"/>
      <c r="L60" s="10" t="n"/>
      <c r="M60" s="10" t="n"/>
      <c r="N60" s="10" t="n"/>
      <c r="O60" s="10" t="n"/>
      <c r="P60" s="10" t="n"/>
      <c r="Q60" s="10" t="n"/>
      <c r="R60" s="10" t="n"/>
      <c r="S60" s="10" t="n"/>
      <c r="T60" s="10" t="n"/>
      <c r="U60" s="10" t="n"/>
      <c r="V60" s="10" t="n"/>
      <c r="W60" s="10" t="n"/>
      <c r="X60" s="10" t="n"/>
      <c r="Y60" s="10" t="n"/>
      <c r="Z60" s="10" t="inlineStr">
        <is>
          <t>[NON-OA / ABSTRACT-ONLY] Makalah survei komprehensif ancaman keamanan MCP (IJSR, DOI: 10.21275/sr26316110418) yang mensintesis 7 CVE, 11 insiden keamanan, dan taksonomi 10 kelas ancaman serta meninjau 41 makalah pertahanan. Sesuai Pedoman, dikodekan sebagai survey_review.</t>
        </is>
      </c>
      <c r="AA60" s="11">
        <f>IF(I60="","",IF(OR(I60="attack",I60="survey_review",I60="benchmark_measurement",I60="position_other",I60="not_defense"),"n/a",IF(OR(X60="spec_normatif",X60="produksi_bukti_publik"),"L3",IF(ISNUMBER(SEARCH("independent",R60)),"L2",IF(R60="author_run","L1",IF(R60="none","L0",""))))))</f>
        <v/>
      </c>
      <c r="AB60" s="11">
        <f>IF(I60="","",IF(AND(K60="deterministic_policy",M60="ya"),"PERIKSA: deterministic_policy tetapi LLM/ML ada dalam keputusan. ","")&amp;IF(AND(U60="ya",V60=""),"PERIKSA: adaptif=ya wajib ada kutipan. ","")&amp;IF(AND(R60="none",U60&lt;&gt;"n/a_tanpa_evaluasi",U60&lt;&gt;""),"PERIKSA: tanpa evaluasi, adaptif harus n/a. ","")&amp;IF(AND(OR(R60="author_run",R60="author_run+independent",R60="independent_only"),Q60=""),"PERIKSA: isi kelas_dievaluasi. ","")&amp;IF(AND(OR(R60="author_run",R60="author_run+independent",R60="independent_only"),W60=""),"PERIKSA: isi lokasi_bukti. ","")&amp;IF(AND(H60="tidak",R60&lt;&gt;""),"PERIKSA: tanpa teks lengkap, kosongkan kolom evaluasi. ",""))</f>
        <v/>
      </c>
      <c r="AC60" t="inlineStr">
        <is>
          <t>include</t>
        </is>
      </c>
    </row>
    <row r="61" ht="409.6" customHeight="1" s="21">
      <c r="A61" s="8" t="inlineStr">
        <is>
          <t>sunil-2026-zero-trust-supply-chain-security</t>
        </is>
      </c>
      <c r="B61" s="8" t="inlineStr">
        <is>
          <t>A Zero-Trust Supply Chain Security Framework for Model Context Protocol-based AI Systems</t>
        </is>
      </c>
      <c r="C61" s="8" t="n">
        <v>2026</v>
      </c>
      <c r="D61" s="8" t="inlineStr">
        <is>
          <t>E1</t>
        </is>
      </c>
      <c r="E61" s="8" t="inlineStr">
        <is>
          <t>kandidat_agent</t>
        </is>
      </c>
      <c r="F61" s="8" t="inlineStr">
        <is>
          <t>proposal_only</t>
        </is>
      </c>
      <c r="G61" s="9" t="inlineStr">
        <is>
          <t>https://doi.org/10.1109/iccbi68589.2026.11619741</t>
        </is>
      </c>
      <c r="H61" s="10" t="inlineStr">
        <is>
          <t>ya</t>
        </is>
      </c>
      <c r="I61" s="10" t="inlineStr">
        <is>
          <t>defense_primary</t>
        </is>
      </c>
      <c r="J61" s="10" t="inlineStr">
        <is>
          <t>ContextGuard</t>
        </is>
      </c>
      <c r="K61" s="10" t="inlineStr">
        <is>
          <t>integrity_provenance</t>
        </is>
      </c>
      <c r="L61" s="10" t="inlineStr">
        <is>
          <t>Kerangka kerja zero-trust rantai pasok MCP yang menggabungkan verifikasi kriptografis (CVL), deteksi drift semantik definisi tool (DIMS), dan penegakan kebijakan (PEP).</t>
        </is>
      </c>
      <c r="M61" s="10" t="inlineStr">
        <is>
          <t>tidak</t>
        </is>
      </c>
      <c r="N61" s="10" t="inlineStr">
        <is>
          <t>gateway_proxy</t>
        </is>
      </c>
      <c r="O61" s="10" t="inlineStr">
        <is>
          <t>R1;R2;R7</t>
        </is>
      </c>
      <c r="P61" s="10" t="inlineStr">
        <is>
          <t>A1;D1;D3</t>
        </is>
      </c>
      <c r="Q61" s="10" t="inlineStr">
        <is>
          <t>A1;D1;D3</t>
        </is>
      </c>
      <c r="R61" s="10" t="inlineStr">
        <is>
          <t>author_run</t>
        </is>
      </c>
      <c r="S61" s="10" t="n"/>
      <c r="T61" s="10" t="inlineStr">
        <is>
          <t>authors_own</t>
        </is>
      </c>
      <c r="U61" s="10" t="inlineStr">
        <is>
          <t>tidak</t>
        </is>
      </c>
      <c r="V61" s="10" t="n"/>
      <c r="W61" s="10" t="inlineStr">
        <is>
          <t>Sec. VI-VII, Tabel 2 &amp; 3, hal. 4-5</t>
        </is>
      </c>
      <c r="X61" s="10" t="inlineStr">
        <is>
          <t>prototype_open_source</t>
        </is>
      </c>
      <c r="Y61" s="10" t="inlineStr">
        <is>
          <t>latensi otorisasi bertambah +1.58 ms (3.42 ms vs baseline 1.84 ms, Tabel 3)</t>
        </is>
      </c>
      <c r="Z61" s="10" t="inlineStr">
        <is>
          <t>Teks lengkap tersedia di papers/ieee. Evaluasi pada korpus 40 tool (30 berbahaya, 10 jinak) dengan deteksi 96.7%. Kode publik di https://github.com/sunilgentyala/contextguard.</t>
        </is>
      </c>
      <c r="AA61" s="11">
        <f>IF(I61="","",IF(OR(I61="attack",I61="survey_review",I61="benchmark_measurement",I61="position_other",I61="not_defense"),"n/a",IF(OR(X61="spec_normatif",X61="produksi_bukti_publik"),"L3",IF(ISNUMBER(SEARCH("independent",R61)),"L2",IF(R61="author_run","L1",IF(R61="none","L0",""))))))</f>
        <v/>
      </c>
      <c r="AB61" s="11">
        <f>IF(I61="","",IF(AND(K61="deterministic_policy",M61="ya"),"PERIKSA: deterministic_policy tetapi LLM/ML ada dalam keputusan. ","")&amp;IF(AND(U61="ya",V61=""),"PERIKSA: adaptif=ya wajib ada kutipan. ","")&amp;IF(AND(R61="none",U61&lt;&gt;"n/a_tanpa_evaluasi",U61&lt;&gt;""),"PERIKSA: tanpa evaluasi, adaptif harus n/a. ","")&amp;IF(AND(OR(R61="author_run",R61="author_run+independent",R61="independent_only"),Q61=""),"PERIKSA: isi kelas_dievaluasi. ","")&amp;IF(AND(OR(R61="author_run",R61="author_run+independent",R61="independent_only"),W61=""),"PERIKSA: isi lokasi_bukti. ","")&amp;IF(AND(H61="tidak",R61&lt;&gt;""),"PERIKSA: tanpa teks lengkap, kosongkan kolom evaluasi. ",""))</f>
        <v/>
      </c>
      <c r="AC61" t="inlineStr">
        <is>
          <t>include</t>
        </is>
      </c>
    </row>
    <row r="62" ht="409.6" customHeight="1" s="21">
      <c r="A62" s="8" t="inlineStr">
        <is>
          <t>theophilus-2026-systematic-security-analysis-model-context</t>
        </is>
      </c>
      <c r="B62" s="8" t="inlineStr">
        <is>
          <t>A Systematic Security Analysis of Model Context Protocol: Vulnerabilities, Exploits, and Mitigations</t>
        </is>
      </c>
      <c r="C62" s="8" t="n">
        <v>2026</v>
      </c>
      <c r="D62" s="8" t="inlineStr">
        <is>
          <t>E1</t>
        </is>
      </c>
      <c r="E62" s="8" t="inlineStr">
        <is>
          <t>kandidat_agent</t>
        </is>
      </c>
      <c r="F62" s="8" t="inlineStr">
        <is>
          <t>proposal_only</t>
        </is>
      </c>
      <c r="G62" s="9" t="inlineStr">
        <is>
          <t>https://doi.org/10.1109/ICAIC67076.2026.11395848</t>
        </is>
      </c>
      <c r="H62" s="10" t="inlineStr">
        <is>
          <t>ya</t>
        </is>
      </c>
      <c r="I62" s="10" t="inlineStr">
        <is>
          <t>defense_secondary</t>
        </is>
      </c>
      <c r="J62" s="10" t="inlineStr">
        <is>
          <t>Hardened MCP Defenses (Prompt Shielding, RBAC, Rate Limiting)</t>
        </is>
      </c>
      <c r="K62" s="10" t="inlineStr">
        <is>
          <t>deterministic_policy</t>
        </is>
      </c>
      <c r="L62" s="10" t="inlineStr">
        <is>
          <t>Pengerasan server MCP berlapis menggunakan Prompt Shielding (filter konteks), RBAC least-privilege, dan Rate Limiting sumber daya.</t>
        </is>
      </c>
      <c r="M62" s="10" t="inlineStr">
        <is>
          <t>tidak</t>
        </is>
      </c>
      <c r="N62" s="10" t="inlineStr">
        <is>
          <t>S</t>
        </is>
      </c>
      <c r="O62" s="10" t="inlineStr">
        <is>
          <t>R2;R3;R5</t>
        </is>
      </c>
      <c r="P62" s="10" t="inlineStr">
        <is>
          <t>A2;C1;C5;D1;OUT_OF_TAXONOMY:resource_abuse</t>
        </is>
      </c>
      <c r="Q62" s="10" t="inlineStr">
        <is>
          <t>A2;C1;C5;D1;OUT_OF_TAXONOMY:resource_abuse</t>
        </is>
      </c>
      <c r="R62" s="10" t="inlineStr">
        <is>
          <t>author_run</t>
        </is>
      </c>
      <c r="S62" s="10" t="n"/>
      <c r="T62" s="10" t="inlineStr">
        <is>
          <t>authors_own</t>
        </is>
      </c>
      <c r="U62" s="10" t="inlineStr">
        <is>
          <t>tidak</t>
        </is>
      </c>
      <c r="V62" s="10" t="n"/>
      <c r="W62" s="10" t="inlineStr">
        <is>
          <t>Sec. X-A, Tabel IV, hal. 6-7</t>
        </is>
      </c>
      <c r="X62" s="10" t="inlineStr">
        <is>
          <t>none</t>
        </is>
      </c>
      <c r="Y62" s="10" t="inlineStr">
        <is>
          <t>dilaporkan: reduksi ASR serangan (RBAC -51.3%, Prompt Shield -47.5%, Rate Limit -37.2%, Tabel IV)</t>
        </is>
      </c>
      <c r="Z62" s="10" t="inlineStr">
        <is>
          <t>Hardened MCP Defenses (defense_secondary, L1). Tabel IV: Prompt Shielding (A2/C5/D1), RBAC (C1), dan Rate Limiting (OUT_OF_TAXONOMY:resource_abuse). Penurunan ASR signifikan pada 15 server MCP.</t>
        </is>
      </c>
      <c r="AA62" s="11">
        <f>IF(I62="","",IF(OR(I62="attack",I62="survey_review",I62="benchmark_measurement",I62="position_other",I62="not_defense"),"n/a",IF(OR(X62="spec_normatif",X62="produksi_bukti_publik"),"L3",IF(ISNUMBER(SEARCH("independent",R62)),"L2",IF(R62="author_run","L1",IF(R62="none","L0",""))))))</f>
        <v/>
      </c>
      <c r="AB62" s="11">
        <f>IF(I62="","",IF(AND(K62="deterministic_policy",M62="ya"),"PERIKSA: deterministic_policy tetapi LLM/ML ada dalam keputusan. ","")&amp;IF(AND(U62="ya",V62=""),"PERIKSA: adaptif=ya wajib ada kutipan. ","")&amp;IF(AND(R62="none",U62&lt;&gt;"n/a_tanpa_evaluasi",U62&lt;&gt;""),"PERIKSA: tanpa evaluasi, adaptif harus n/a. ","")&amp;IF(AND(OR(R62="author_run",R62="author_run+independent",R62="independent_only"),Q62=""),"PERIKSA: isi kelas_dievaluasi. ","")&amp;IF(AND(OR(R62="author_run",R62="author_run+independent",R62="independent_only"),W62=""),"PERIKSA: isi lokasi_bukti. ","")&amp;IF(AND(H62="tidak",R62&lt;&gt;""),"PERIKSA: tanpa teks lengkap, kosongkan kolom evaluasi. ",""))</f>
        <v/>
      </c>
      <c r="AC62" t="inlineStr">
        <is>
          <t>include</t>
        </is>
      </c>
    </row>
    <row r="63" ht="325.5" customHeight="1" s="21">
      <c r="A63" s="8" t="inlineStr">
        <is>
          <t>vineeth-2026-enterprise-grade-security-model-context</t>
        </is>
      </c>
      <c r="B63" s="8" t="inlineStr">
        <is>
          <t>Enterprise-Grade Security for the Model Context Protocol (MCP): Frameworks and Mitigation Strategies</t>
        </is>
      </c>
      <c r="C63" s="8" t="n">
        <v>2026</v>
      </c>
      <c r="D63" s="8" t="inlineStr">
        <is>
          <t>E1</t>
        </is>
      </c>
      <c r="E63" s="8" t="inlineStr">
        <is>
          <t>kandidat_agent</t>
        </is>
      </c>
      <c r="F63" s="8" t="inlineStr">
        <is>
          <t>proposal_only</t>
        </is>
      </c>
      <c r="G63" s="9" t="inlineStr">
        <is>
          <t>https://arxiv.org/abs/2504.08623</t>
        </is>
      </c>
      <c r="H63" s="10" t="inlineStr">
        <is>
          <t>ya</t>
        </is>
      </c>
      <c r="I63" s="10" t="inlineStr">
        <is>
          <t>proposal_only</t>
        </is>
      </c>
      <c r="J63" s="10" t="inlineStr">
        <is>
          <t>Enterprise-Grade MCP Security Framework</t>
        </is>
      </c>
      <c r="K63" s="10" t="inlineStr">
        <is>
          <t>deterministic_policy</t>
        </is>
      </c>
      <c r="L63" s="10" t="inlineStr">
        <is>
          <t>Kerangka kerja pertahanan berlapis (defense-in-depth) enterprise untuk MCP yang menerapkan kontrol zero trust, pemodelan ancaman MAESTRO, autentikasi granular, dan audit telemetri.</t>
        </is>
      </c>
      <c r="M63" s="10" t="inlineStr">
        <is>
          <t>tidak</t>
        </is>
      </c>
      <c r="N63" s="10" t="inlineStr">
        <is>
          <t>gateway_proxy</t>
        </is>
      </c>
      <c r="O63" s="10" t="inlineStr">
        <is>
          <t>R1;R2;R4;R5;R6;R7</t>
        </is>
      </c>
      <c r="P63" s="10" t="inlineStr">
        <is>
          <t>A1;A2;A3;B1;B2;C3;D3</t>
        </is>
      </c>
      <c r="Q63" s="10" t="n"/>
      <c r="R63" s="10" t="inlineStr">
        <is>
          <t>none</t>
        </is>
      </c>
      <c r="S63" s="10" t="n"/>
      <c r="T63" s="10" t="inlineStr">
        <is>
          <t>none</t>
        </is>
      </c>
      <c r="U63" s="10" t="inlineStr">
        <is>
          <t>n/a_tanpa_evaluasi</t>
        </is>
      </c>
      <c r="V63" s="10" t="n"/>
      <c r="W63" s="10" t="inlineStr">
        <is>
          <t>Sec. III &amp; IV, hal. 4-9</t>
        </is>
      </c>
      <c r="X63" s="10" t="inlineStr">
        <is>
          <t>none</t>
        </is>
      </c>
      <c r="Y63" s="10" t="inlineStr">
        <is>
          <t>not_reported</t>
        </is>
      </c>
      <c r="Z63" s="10" t="inlineStr">
        <is>
          <t>KODER 1 menandai teks lengkap. Makalah usulan kerangka kerja pertahanan enterprise berlapis berbasis Zero Trust dan MAESTRO tanpa evaluasi empiris terhadap dataset serangan. Sesuai Pedoman, dikodekan sebagai proposal_only.</t>
        </is>
      </c>
      <c r="AA63" s="11">
        <f>IF(I63="","",IF(OR(I63="attack",I63="survey_review",I63="benchmark_measurement",I63="position_other",I63="not_defense"),"n/a",IF(OR(X63="spec_normatif",X63="produksi_bukti_publik"),"L3",IF(ISNUMBER(SEARCH("independent",R63)),"L2",IF(R63="author_run","L1",IF(R63="none","L0",""))))))</f>
        <v/>
      </c>
      <c r="AB63" s="11">
        <f>IF(I63="","",IF(AND(K63="deterministic_policy",M63="ya"),"PERIKSA: deterministic_policy tetapi LLM/ML ada dalam keputusan. ","")&amp;IF(AND(U63="ya",V63=""),"PERIKSA: adaptif=ya wajib ada kutipan. ","")&amp;IF(AND(R63="none",U63&lt;&gt;"n/a_tanpa_evaluasi",U63&lt;&gt;""),"PERIKSA: tanpa evaluasi, adaptif harus n/a. ","")&amp;IF(AND(OR(R63="author_run",R63="author_run+independent",R63="independent_only"),Q63=""),"PERIKSA: isi kelas_dievaluasi. ","")&amp;IF(AND(OR(R63="author_run",R63="author_run+independent",R63="independent_only"),W63=""),"PERIKSA: isi lokasi_bukti. ","")&amp;IF(AND(H63="tidak",R63&lt;&gt;""),"PERIKSA: tanpa teks lengkap, kosongkan kolom evaluasi. ",""))</f>
        <v/>
      </c>
      <c r="AC63" t="inlineStr">
        <is>
          <t>include</t>
        </is>
      </c>
    </row>
    <row r="64" ht="370.5" customHeight="1" s="21">
      <c r="A64" s="8" t="inlineStr">
        <is>
          <t>weibo-2025-when-mcp-servers-attack-taxonomy</t>
        </is>
      </c>
      <c r="B64" s="8" t="inlineStr">
        <is>
          <t>When MCP Servers Attack: Taxonomy, Feasibility, and Mitigation</t>
        </is>
      </c>
      <c r="C64" s="8" t="n">
        <v>2025</v>
      </c>
      <c r="D64" s="8" t="inlineStr">
        <is>
          <t>E2</t>
        </is>
      </c>
      <c r="E64" s="8" t="inlineStr">
        <is>
          <t>kandidat_agent</t>
        </is>
      </c>
      <c r="F64" s="8" t="inlineStr">
        <is>
          <t>proposal_only</t>
        </is>
      </c>
      <c r="G64" s="9" t="inlineStr">
        <is>
          <t>https://arxiv.org/abs/2509.24272</t>
        </is>
      </c>
      <c r="H64" s="10" t="inlineStr">
        <is>
          <t>ya</t>
        </is>
      </c>
      <c r="I64" s="10" t="inlineStr">
        <is>
          <t>attack</t>
        </is>
      </c>
      <c r="J64" s="10" t="n"/>
      <c r="K64" s="10" t="n"/>
      <c r="L64" s="10" t="n"/>
      <c r="M64" s="10" t="n"/>
      <c r="N64" s="10" t="n"/>
      <c r="O64" s="10" t="n"/>
      <c r="P64" s="10" t="n"/>
      <c r="Q64" s="10" t="n"/>
      <c r="R64" s="10" t="n"/>
      <c r="S64" s="10" t="n"/>
      <c r="T64" s="10" t="n"/>
      <c r="U64" s="10" t="n"/>
      <c r="V64" s="10" t="n"/>
      <c r="W64" s="10" t="n"/>
      <c r="X64" s="10" t="n"/>
      <c r="Y64" s="10" t="n"/>
      <c r="Z64" s="10" t="inlineStr">
        <is>
          <t>KODER 1 menandai teks lengkap. Studi sistematis dan taksonomi serangan server MCP berbahaya (12 kategori serangan, PoC servers) yang mengevaluasi kerentanan host dan kegagalan scanner yang ada. Sesuai Pedoman, dikodekan sebagai attack.</t>
        </is>
      </c>
      <c r="AA64" s="11">
        <f>IF(I64="","",IF(OR(I64="attack",I64="survey_review",I64="benchmark_measurement",I64="position_other",I64="not_defense"),"n/a",IF(OR(X64="spec_normatif",X64="produksi_bukti_publik"),"L3",IF(ISNUMBER(SEARCH("independent",R64)),"L2",IF(R64="author_run","L1",IF(R64="none","L0",""))))))</f>
        <v/>
      </c>
      <c r="AB64" s="11">
        <f>IF(I64="","",IF(AND(K64="deterministic_policy",M64="ya"),"PERIKSA: deterministic_policy tetapi LLM/ML ada dalam keputusan. ","")&amp;IF(AND(U64="ya",V64=""),"PERIKSA: adaptif=ya wajib ada kutipan. ","")&amp;IF(AND(R64="none",U64&lt;&gt;"n/a_tanpa_evaluasi",U64&lt;&gt;""),"PERIKSA: tanpa evaluasi, adaptif harus n/a. ","")&amp;IF(AND(OR(R64="author_run",R64="author_run+independent",R64="independent_only"),Q64=""),"PERIKSA: isi kelas_dievaluasi. ","")&amp;IF(AND(OR(R64="author_run",R64="author_run+independent",R64="independent_only"),W64=""),"PERIKSA: isi lokasi_bukti. ","")&amp;IF(AND(H64="tidak",R64&lt;&gt;""),"PERIKSA: tanpa teks lengkap, kosongkan kolom evaluasi. ",""))</f>
        <v/>
      </c>
      <c r="AC64" t="inlineStr">
        <is>
          <t>include</t>
        </is>
      </c>
    </row>
    <row r="65" ht="303" customHeight="1" s="21">
      <c r="A65" s="8" t="inlineStr">
        <is>
          <t>xinyi-2026-model-context-protocol-mcp-landscape</t>
        </is>
      </c>
      <c r="B65" s="8" t="inlineStr">
        <is>
          <t>Model Context Protocol (MCP): Landscape, Security Threats, and Future Research Directions</t>
        </is>
      </c>
      <c r="C65" s="8" t="n">
        <v>2026</v>
      </c>
      <c r="D65" s="8" t="inlineStr">
        <is>
          <t>E1</t>
        </is>
      </c>
      <c r="E65" s="8" t="inlineStr">
        <is>
          <t>kandidat_agent</t>
        </is>
      </c>
      <c r="F65" s="8" t="inlineStr">
        <is>
          <t>proposal_only</t>
        </is>
      </c>
      <c r="G65" s="9" t="inlineStr">
        <is>
          <t>https://arxiv.org/abs/2503.23278</t>
        </is>
      </c>
      <c r="H65" s="10" t="inlineStr">
        <is>
          <t>ya</t>
        </is>
      </c>
      <c r="I65" s="10" t="inlineStr">
        <is>
          <t>survey_review</t>
        </is>
      </c>
      <c r="J65" s="10" t="n"/>
      <c r="K65" s="10" t="n"/>
      <c r="L65" s="10" t="n"/>
      <c r="M65" s="10" t="n"/>
      <c r="N65" s="10" t="n"/>
      <c r="O65" s="10" t="n"/>
      <c r="P65" s="10" t="n"/>
      <c r="Q65" s="10" t="n"/>
      <c r="R65" s="10" t="n"/>
      <c r="S65" s="10" t="n"/>
      <c r="T65" s="10" t="n"/>
      <c r="U65" s="10" t="n"/>
      <c r="V65" s="10" t="n"/>
      <c r="W65" s="10" t="n"/>
      <c r="X65" s="10" t="n"/>
      <c r="Y65" s="10" t="n"/>
      <c r="Z65" s="10" t="inlineStr">
        <is>
          <t>KODER 1 menandai teks lengkap. Makalah survei komprehensif mengenai lanskap ekosistem MCP, arsitektur protokol, ancaman keamanan, dan arah riset masa depan. Sesuai Pedoman, dikodekan sebagai survey_review.</t>
        </is>
      </c>
      <c r="AA65" s="11">
        <f>IF(I65="","",IF(OR(I65="attack",I65="survey_review",I65="benchmark_measurement",I65="position_other",I65="not_defense"),"n/a",IF(OR(X65="spec_normatif",X65="produksi_bukti_publik"),"L3",IF(ISNUMBER(SEARCH("independent",R65)),"L2",IF(R65="author_run","L1",IF(R65="none","L0",""))))))</f>
        <v/>
      </c>
      <c r="AB65" s="11">
        <f>IF(I65="","",IF(AND(K65="deterministic_policy",M65="ya"),"PERIKSA: deterministic_policy tetapi LLM/ML ada dalam keputusan. ","")&amp;IF(AND(U65="ya",V65=""),"PERIKSA: adaptif=ya wajib ada kutipan. ","")&amp;IF(AND(R65="none",U65&lt;&gt;"n/a_tanpa_evaluasi",U65&lt;&gt;""),"PERIKSA: tanpa evaluasi, adaptif harus n/a. ","")&amp;IF(AND(OR(R65="author_run",R65="author_run+independent",R65="independent_only"),Q65=""),"PERIKSA: isi kelas_dievaluasi. ","")&amp;IF(AND(OR(R65="author_run",R65="author_run+independent",R65="independent_only"),W65=""),"PERIKSA: isi lokasi_bukti. ","")&amp;IF(AND(H65="tidak",R65&lt;&gt;""),"PERIKSA: tanpa teks lengkap, kosongkan kolom evaluasi. ",""))</f>
        <v/>
      </c>
      <c r="AC65" t="inlineStr">
        <is>
          <t>include</t>
        </is>
      </c>
    </row>
    <row r="66" ht="336.75" customHeight="1" s="21">
      <c r="A66" s="8" t="inlineStr">
        <is>
          <t>john-2026-mcp-safety-audit-llms-model</t>
        </is>
      </c>
      <c r="B66" s="8" t="inlineStr">
        <is>
          <t>MCP safety audit: LLMs with the model context protocol allow major security exploits</t>
        </is>
      </c>
      <c r="C66" s="8" t="n">
        <v>2026</v>
      </c>
      <c r="D66" s="8" t="inlineStr">
        <is>
          <t>E2</t>
        </is>
      </c>
      <c r="E66" s="8" t="inlineStr">
        <is>
          <t>kandidat_agent</t>
        </is>
      </c>
      <c r="F66" s="8" t="inlineStr">
        <is>
          <t>secondary</t>
        </is>
      </c>
      <c r="G66" s="9" t="inlineStr">
        <is>
          <t>https://arxiv.org/abs/2504.03767</t>
        </is>
      </c>
      <c r="H66" s="10" t="inlineStr">
        <is>
          <t>ya</t>
        </is>
      </c>
      <c r="I66" s="10" t="inlineStr">
        <is>
          <t>defense_secondary</t>
        </is>
      </c>
      <c r="J66" s="10" t="inlineStr">
        <is>
          <t>McpSafetyScanner</t>
        </is>
      </c>
      <c r="K66" s="10" t="inlineStr">
        <is>
          <t>content_inspection_static</t>
        </is>
      </c>
      <c r="L66" s="10" t="inlineStr">
        <is>
          <t>Pemindai kerentanan multi-agen otomatis (McpSafetyScanner) bertenaga LLM yang memindai konfigurasi perkakas MCP, mendeteksi potensi eksploitasi (MCE, RAC, pencurian kredensial), dan menghasilkan saran remediasi keamanan.</t>
        </is>
      </c>
      <c r="M66" s="10" t="inlineStr">
        <is>
          <t>ya</t>
        </is>
      </c>
      <c r="N66" s="10" t="inlineStr">
        <is>
          <t>offline_analysis</t>
        </is>
      </c>
      <c r="O66" s="10" t="inlineStr">
        <is>
          <t>R2;R6;R7</t>
        </is>
      </c>
      <c r="P66" s="10" t="inlineStr">
        <is>
          <t>A1;A2;C5;D1;D3</t>
        </is>
      </c>
      <c r="Q66" s="10" t="inlineStr">
        <is>
          <t>A2;C5;D1</t>
        </is>
      </c>
      <c r="R66" s="10" t="inlineStr">
        <is>
          <t>author_run+independent</t>
        </is>
      </c>
      <c r="S66" s="10" t="inlineStr">
        <is>
          <t>pengyu-2026-viper-mcp-detecting-exploiting-taint; zhiyuan-2026-confused-deputy-attack-model-context</t>
        </is>
      </c>
      <c r="T66" s="10" t="inlineStr">
        <is>
          <t>authors_own</t>
        </is>
      </c>
      <c r="U66" s="10" t="inlineStr">
        <is>
          <t>tidak</t>
        </is>
      </c>
      <c r="V66" s="10" t="n"/>
      <c r="W66" s="10" t="inlineStr">
        <is>
          <t>Sec. 5 &amp; 7, Tabel 2 &amp; 3, Gbr 20 &amp; 21, hal. 6-9, 25-27</t>
        </is>
      </c>
      <c r="X66" s="10" t="inlineStr">
        <is>
          <t>prototype_open_source</t>
        </is>
      </c>
      <c r="Y66" s="10" t="inlineStr">
        <is>
          <t>Runtime kurang dari satu menit per pemindaian pada Apple M2 Max MacBook Pro</t>
        </is>
      </c>
      <c r="Z66" s="10" t="inlineStr">
        <is>
          <t>McpSafetyScanner (defense_secondary, L2). Audit otomatis konfigurasi MCP untuk MCE/RAC (C5), prompt/tool manipulation (A2), credential theft (D1). Dua evaluator independen: VIPER-MCP (Tabel 2, hal. 11) dan Zhiyuan-2026 (Tabel 8, hal. 21). Repositori resmi: github.com/johnhalloran321/mcpSafetyScanner. Repositori/artefak: https://github.com/johnhalloran321/mcpSafetyScanner.</t>
        </is>
      </c>
      <c r="AA66" s="11">
        <f>IF(I66="","",IF(OR(I66="attack",I66="survey_review",I66="benchmark_measurement",I66="position_other",I66="not_defense"),"n/a",IF(OR(X66="spec_normatif",X66="produksi_bukti_publik"),"L3",IF(ISNUMBER(SEARCH("independent",R66)),"L2",IF(R66="author_run","L1",IF(R66="none","L0",""))))))</f>
        <v/>
      </c>
      <c r="AB66" s="11">
        <f>IF(I66="","",IF(AND(K66="deterministic_policy",M66="ya"),"PERIKSA: deterministic_policy tetapi LLM/ML ada dalam keputusan. ","")&amp;IF(AND(U66="ya",V66=""),"PERIKSA: adaptif=ya wajib ada kutipan. ","")&amp;IF(AND(R66="none",U66&lt;&gt;"n/a_tanpa_evaluasi",U66&lt;&gt;""),"PERIKSA: tanpa evaluasi, adaptif harus n/a. ","")&amp;IF(AND(OR(R66="author_run",R66="author_run+independent",R66="independent_only"),Q66=""),"PERIKSA: isi kelas_dievaluasi. ","")&amp;IF(AND(OR(R66="author_run",R66="author_run+independent",R66="independent_only"),W66=""),"PERIKSA: isi lokasi_bukti. ","")&amp;IF(AND(H66="tidak",R66&lt;&gt;""),"PERIKSA: tanpa teks lengkap, kosongkan kolom evaluasi. ",""))</f>
        <v/>
      </c>
      <c r="AC66" t="inlineStr">
        <is>
          <t>include</t>
        </is>
      </c>
    </row>
    <row r="67" ht="381.75" customHeight="1" s="21">
      <c r="A67" s="8" t="inlineStr">
        <is>
          <t>panduranga-2026-delegation-trust-empirical-gap-analysis</t>
        </is>
      </c>
      <c r="B67" s="8" t="inlineStr">
        <is>
          <t>Delegation Without Trust: An Empirical Gap Analysis of Identity, Authorization, and Runtime Governance in Multi-Agent LLM Systems</t>
        </is>
      </c>
      <c r="C67" s="8" t="n">
        <v>2026</v>
      </c>
      <c r="D67" s="8" t="inlineStr">
        <is>
          <t>E2</t>
        </is>
      </c>
      <c r="E67" s="8" t="inlineStr">
        <is>
          <t>kandidat_agent</t>
        </is>
      </c>
      <c r="F67" s="8" t="inlineStr">
        <is>
          <t>secondary</t>
        </is>
      </c>
      <c r="G67" s="9" t="inlineStr">
        <is>
          <t>https://arxiv.org/abs/2609.00267</t>
        </is>
      </c>
      <c r="H67" s="10" t="inlineStr">
        <is>
          <t>ya</t>
        </is>
      </c>
      <c r="I67" s="10" t="inlineStr">
        <is>
          <t>defense_secondary</t>
        </is>
      </c>
      <c r="J67" s="10" t="inlineStr">
        <is>
          <t>Trust Broker (Delegation Governance Broker)</t>
        </is>
      </c>
      <c r="K67" s="10" t="inlineStr">
        <is>
          <t>capability_or_token</t>
        </is>
      </c>
      <c r="L67" s="10" t="inlineStr">
        <is>
          <t>Broker tata kelola delegasi berbasis kapabilitas yang menerapkan sender-constrained tokens, workload identity (SPIFFE/mTLS), dan pembatasan radius dampak untuk mencegah eskalasi wewenang dan pembajakan delegasi agen.</t>
        </is>
      </c>
      <c r="M67" s="10" t="inlineStr">
        <is>
          <t>tidak</t>
        </is>
      </c>
      <c r="N67" s="10" t="inlineStr">
        <is>
          <t>gateway_proxy</t>
        </is>
      </c>
      <c r="O67" s="10" t="inlineStr">
        <is>
          <t>R1;R2;R3;R5</t>
        </is>
      </c>
      <c r="P67" s="10" t="inlineStr">
        <is>
          <t>A1;A3;B2;C1;C3</t>
        </is>
      </c>
      <c r="Q67" s="10" t="inlineStr">
        <is>
          <t>C1;C3</t>
        </is>
      </c>
      <c r="R67" s="10" t="inlineStr">
        <is>
          <t>author_run</t>
        </is>
      </c>
      <c r="S67" s="10" t="n"/>
      <c r="T67" s="10" t="inlineStr">
        <is>
          <t>authors_own</t>
        </is>
      </c>
      <c r="U67" s="10" t="inlineStr">
        <is>
          <t>ya</t>
        </is>
      </c>
      <c r="V67" s="10" t="inlineStr">
        <is>
          <t>Beyond the four scenarios, we run a suite that actively attacks the broker's own design: forging a token from scratch.</t>
        </is>
      </c>
      <c r="W67" s="10" t="inlineStr">
        <is>
          <t>Sec. 7; Table 4; hal. 7-8</t>
        </is>
      </c>
      <c r="X67" s="10" t="inlineStr">
        <is>
          <t>none</t>
        </is>
      </c>
      <c r="Y67" s="10" t="inlineStr">
        <is>
          <t>Broker latency minimal tanpa pemanggilan LLM; membatasi blast radius dari 8.100 aksi menjadi rata-rata 1.5 aksi</t>
        </is>
      </c>
      <c r="Z67" s="10" t="inlineStr">
        <is>
          <t>Trust Broker menggunakan token kapabilitas Macaroon/Biscuit-style dengan caveat teratenuasi dan SVID mTLS. Tanpa repo publik (deployment=none). Adaptif=ya (11 serangan terarah desain oleh penulis).</t>
        </is>
      </c>
      <c r="AA67" s="11">
        <f>IF(I67="","",IF(OR(I67="attack",I67="survey_review",I67="benchmark_measurement",I67="position_other",I67="not_defense"),"n/a",IF(OR(X67="spec_normatif",X67="produksi_bukti_publik"),"L3",IF(ISNUMBER(SEARCH("independent",R67)),"L2",IF(R67="author_run","L1",IF(R67="none","L0",""))))))</f>
        <v/>
      </c>
      <c r="AB67" s="11">
        <f>IF(I67="","",IF(AND(K67="deterministic_policy",M67="ya"),"PERIKSA: deterministic_policy tetapi LLM/ML ada dalam keputusan. ","")&amp;IF(AND(U67="ya",V67=""),"PERIKSA: adaptif=ya wajib ada kutipan. ","")&amp;IF(AND(R67="none",U67&lt;&gt;"n/a_tanpa_evaluasi",U67&lt;&gt;""),"PERIKSA: tanpa evaluasi, adaptif harus n/a. ","")&amp;IF(AND(OR(R67="author_run",R67="author_run+independent",R67="independent_only"),Q67=""),"PERIKSA: isi kelas_dievaluasi. ","")&amp;IF(AND(OR(R67="author_run",R67="author_run+independent",R67="independent_only"),W67=""),"PERIKSA: isi lokasi_bukti. ","")&amp;IF(AND(H67="tidak",R67&lt;&gt;""),"PERIKSA: tanpa teks lengkap, kosongkan kolom evaluasi. ",""))</f>
        <v/>
      </c>
      <c r="AC67" t="inlineStr">
        <is>
          <t>include</t>
        </is>
      </c>
    </row>
    <row r="68" ht="409.6" customHeight="1" s="21">
      <c r="A68" s="8" t="inlineStr">
        <is>
          <t>shi-2026-when-manual-lies-realistic-benchmark</t>
        </is>
      </c>
      <c r="B68" s="8" t="inlineStr">
        <is>
          <t>When the Manual Lies: A Realistic Benchmark to Evaluate MCP Poisoning Attacks for LLM Agents</t>
        </is>
      </c>
      <c r="C68" s="8" t="n">
        <v>2026</v>
      </c>
      <c r="D68" s="8" t="inlineStr">
        <is>
          <t>E1</t>
        </is>
      </c>
      <c r="E68" s="8" t="inlineStr">
        <is>
          <t>kandidat_agent</t>
        </is>
      </c>
      <c r="F68" s="8" t="inlineStr">
        <is>
          <t>secondary</t>
        </is>
      </c>
      <c r="G68" s="9" t="inlineStr">
        <is>
          <t>https://arxiv.org/abs/2605.24069</t>
        </is>
      </c>
      <c r="H68" s="10" t="inlineStr">
        <is>
          <t>ya</t>
        </is>
      </c>
      <c r="I68" s="10" t="inlineStr">
        <is>
          <t>benchmark_measurement</t>
        </is>
      </c>
      <c r="J68" s="10" t="n"/>
      <c r="K68" s="10" t="n"/>
      <c r="L68" s="10" t="n"/>
      <c r="M68" s="10" t="n"/>
      <c r="N68" s="10" t="n"/>
      <c r="O68" s="10" t="n"/>
      <c r="P68" s="10" t="n"/>
      <c r="Q68" s="10" t="n"/>
      <c r="R68" s="10" t="n"/>
      <c r="S68" s="10" t="n"/>
      <c r="T68" s="10" t="n"/>
      <c r="U68" s="10" t="n"/>
      <c r="V68" s="10" t="n"/>
      <c r="W68" s="10" t="n"/>
      <c r="X68" s="10" t="n"/>
      <c r="Y68" s="10" t="n"/>
      <c r="Z68" s="10" t="inlineStr">
        <is>
          <t>KODER 1 menandai teks lengkap. Makalah benchmark empiris (MCP-TDP Security Benchmark) yang mengevaluasi kerentanan serangan peracunan deskripsi alat pada agen MCP dan menguji kelemahan baseline guardrail yang ada (LlamaGuard) tanpa mengusulkan mitigasi baru penulis. Sesuai Pedoman, dikodekan sebagai benchmark_measurement.</t>
        </is>
      </c>
      <c r="AA68" s="11">
        <f>IF(I68="","",IF(OR(I68="attack",I68="survey_review",I68="benchmark_measurement",I68="position_other",I68="not_defense"),"n/a",IF(OR(X68="spec_normatif",X68="produksi_bukti_publik"),"L3",IF(ISNUMBER(SEARCH("independent",R68)),"L2",IF(R68="author_run","L1",IF(R68="none","L0",""))))))</f>
        <v/>
      </c>
      <c r="AB68" s="11">
        <f>IF(I68="","",IF(AND(K68="deterministic_policy",M68="ya"),"PERIKSA: deterministic_policy tetapi LLM/ML ada dalam keputusan. ","")&amp;IF(AND(U68="ya",V68=""),"PERIKSA: adaptif=ya wajib ada kutipan. ","")&amp;IF(AND(R68="none",U68&lt;&gt;"n/a_tanpa_evaluasi",U68&lt;&gt;""),"PERIKSA: tanpa evaluasi, adaptif harus n/a. ","")&amp;IF(AND(OR(R68="author_run",R68="author_run+independent",R68="independent_only"),Q68=""),"PERIKSA: isi kelas_dievaluasi. ","")&amp;IF(AND(OR(R68="author_run",R68="author_run+independent",R68="independent_only"),W68=""),"PERIKSA: isi lokasi_bukti. ","")&amp;IF(AND(H68="tidak",R68&lt;&gt;""),"PERIKSA: tanpa teks lengkap, kosongkan kolom evaluasi. ",""))</f>
        <v/>
      </c>
      <c r="AC68" t="inlineStr">
        <is>
          <t>include</t>
        </is>
      </c>
    </row>
    <row r="69" ht="409.6" customHeight="1" s="21">
      <c r="A69" s="8" t="inlineStr">
        <is>
          <t>tarek-2025-bridging-ai-software-security-comparative</t>
        </is>
      </c>
      <c r="B69" s="8" t="inlineStr">
        <is>
          <t>Bridging AI and Software Security: A Comparative Vulnerability Assessment of LLM Agent Deployment Paradigms</t>
        </is>
      </c>
      <c r="C69" s="8" t="n">
        <v>2025</v>
      </c>
      <c r="D69" s="8" t="inlineStr">
        <is>
          <t>E2</t>
        </is>
      </c>
      <c r="E69" s="8" t="inlineStr">
        <is>
          <t>kandidat_agent</t>
        </is>
      </c>
      <c r="F69" s="8" t="inlineStr">
        <is>
          <t>secondary</t>
        </is>
      </c>
      <c r="G69" s="9" t="inlineStr">
        <is>
          <t>https://arxiv.org/abs/2507.06323</t>
        </is>
      </c>
      <c r="H69" s="10" t="inlineStr">
        <is>
          <t>ya</t>
        </is>
      </c>
      <c r="I69" s="10" t="inlineStr">
        <is>
          <t>benchmark_measurement</t>
        </is>
      </c>
      <c r="J69" s="10" t="n"/>
      <c r="K69" s="10" t="n"/>
      <c r="L69" s="10" t="n"/>
      <c r="M69" s="10" t="n"/>
      <c r="N69" s="10" t="n"/>
      <c r="O69" s="10" t="n"/>
      <c r="P69" s="10" t="n"/>
      <c r="Q69" s="10" t="n"/>
      <c r="R69" s="10" t="n"/>
      <c r="S69" s="10" t="n"/>
      <c r="T69" s="10" t="n"/>
      <c r="U69" s="10" t="n"/>
      <c r="V69" s="10" t="n"/>
      <c r="W69" s="10" t="n"/>
      <c r="X69" s="10" t="n"/>
      <c r="Y69" s="10" t="n"/>
      <c r="Z69" s="10" t="inlineStr">
        <is>
          <t>KODER 1 menandai teks lengkap. Studi penilaian kerentanan komparatif empiris (3.250 skenario serangan) yang membandingkan paradigma Function Calling vs MCP pada 7 model bahasa tanpa mengusulkan mitigasi baru penulis. Sesuai Pedoman, dikodekan sebagai benchmark_measurement.</t>
        </is>
      </c>
      <c r="AA69" s="11">
        <f>IF(I69="","",IF(OR(I69="attack",I69="survey_review",I69="benchmark_measurement",I69="position_other",I69="not_defense"),"n/a",IF(OR(X69="spec_normatif",X69="produksi_bukti_publik"),"L3",IF(ISNUMBER(SEARCH("independent",R69)),"L2",IF(R69="author_run","L1",IF(R69="none","L0",""))))))</f>
        <v/>
      </c>
      <c r="AB69" s="11">
        <f>IF(I69="","",IF(AND(K69="deterministic_policy",M69="ya"),"PERIKSA: deterministic_policy tetapi LLM/ML ada dalam keputusan. ","")&amp;IF(AND(U69="ya",V69=""),"PERIKSA: adaptif=ya wajib ada kutipan. ","")&amp;IF(AND(R69="none",U69&lt;&gt;"n/a_tanpa_evaluasi",U69&lt;&gt;""),"PERIKSA: tanpa evaluasi, adaptif harus n/a. ","")&amp;IF(AND(OR(R69="author_run",R69="author_run+independent",R69="independent_only"),Q69=""),"PERIKSA: isi kelas_dievaluasi. ","")&amp;IF(AND(OR(R69="author_run",R69="author_run+independent",R69="independent_only"),W69=""),"PERIKSA: isi lokasi_bukti. ","")&amp;IF(AND(H69="tidak",R69&lt;&gt;""),"PERIKSA: tanpa teks lengkap, kosongkan kolom evaluasi. ",""))</f>
        <v/>
      </c>
      <c r="AC69" t="inlineStr">
        <is>
          <t>include</t>
        </is>
      </c>
    </row>
    <row r="70" ht="393" customHeight="1" s="21">
      <c r="A70" s="8" t="inlineStr">
        <is>
          <t>yuanhe-2025-leechhijack-covert-computational-resource-exploitation</t>
        </is>
      </c>
      <c r="B70" s="8" t="inlineStr">
        <is>
          <t>LeechHijack: Covert Computational Resource Exploitation in Intelligent Agent Systems</t>
        </is>
      </c>
      <c r="C70" s="8" t="n">
        <v>2025</v>
      </c>
      <c r="D70" s="8" t="inlineStr">
        <is>
          <t>E2</t>
        </is>
      </c>
      <c r="E70" s="8" t="inlineStr">
        <is>
          <t>kandidat_agent</t>
        </is>
      </c>
      <c r="F70" s="8" t="inlineStr">
        <is>
          <t>secondary</t>
        </is>
      </c>
      <c r="G70" s="9" t="inlineStr">
        <is>
          <t>https://arxiv.org/abs/2512.02321</t>
        </is>
      </c>
      <c r="H70" s="10" t="inlineStr">
        <is>
          <t>ya</t>
        </is>
      </c>
      <c r="I70" s="10" t="inlineStr">
        <is>
          <t>defense_secondary</t>
        </is>
      </c>
      <c r="J70" s="10" t="inlineStr">
        <is>
          <t>LLM-as-a-Judge Defense for LeechHijack</t>
        </is>
      </c>
      <c r="K70" s="10" t="inlineStr">
        <is>
          <t>content_inspection_runtime</t>
        </is>
      </c>
      <c r="L70" s="10" t="inlineStr">
        <is>
          <t>Detektor berbasis LLM-as-a-judge yang menganalisis prompt dan respons tool untuk mendeteksi pembajakan komputasi terselubung pada agen MCP.</t>
        </is>
      </c>
      <c r="M70" s="10" t="inlineStr">
        <is>
          <t>ya</t>
        </is>
      </c>
      <c r="N70" s="10" t="inlineStr">
        <is>
          <t>gateway_proxy</t>
        </is>
      </c>
      <c r="O70" s="10" t="inlineStr">
        <is>
          <t>R2</t>
        </is>
      </c>
      <c r="P70" s="10" t="inlineStr">
        <is>
          <t>OUT_OF_TAXONOMY:resource_abuse</t>
        </is>
      </c>
      <c r="Q70" s="10" t="inlineStr">
        <is>
          <t>OUT_OF_TAXONOMY:resource_abuse</t>
        </is>
      </c>
      <c r="R70" s="10" t="inlineStr">
        <is>
          <t>author_run</t>
        </is>
      </c>
      <c r="S70" s="10" t="n"/>
      <c r="T70" s="10" t="inlineStr">
        <is>
          <t>authors_own</t>
        </is>
      </c>
      <c r="U70" s="10" t="inlineStr">
        <is>
          <t>tidak</t>
        </is>
      </c>
      <c r="V70" s="10" t="n"/>
      <c r="W70" s="10" t="inlineStr">
        <is>
          <t>Sec. 5.6 &amp; 6, Tabel 12-15</t>
        </is>
      </c>
      <c r="X70" s="10" t="inlineStr">
        <is>
          <t>none</t>
        </is>
      </c>
      <c r="Y70" s="10" t="inlineStr">
        <is>
          <t>not_reported</t>
        </is>
      </c>
      <c r="Z70" s="10" t="inlineStr">
        <is>
          <t>Makalah serangan LeechHijack yang mengimplementasikan dan mengevaluasi mekanisme mitigasi LLM-as-a-judge (F1 hingga 0,96, rata-rata 0,71 di Tabel 12-15). Dikodekan sebagai defense_secondary sesuai Pedoman Bagian 3.</t>
        </is>
      </c>
      <c r="AA70" s="11">
        <f>IF(I70="","",IF(OR(I70="attack",I70="survey_review",I70="benchmark_measurement",I70="position_other",I70="not_defense"),"n/a",IF(OR(X70="spec_normatif",X70="produksi_bukti_publik"),"L3",IF(ISNUMBER(SEARCH("independent",R70)),"L2",IF(R70="author_run","L1",IF(R70="none","L0",""))))))</f>
        <v/>
      </c>
      <c r="AB70" s="11">
        <f>IF(I70="","",IF(AND(K70="deterministic_policy",M70="ya"),"PERIKSA: deterministic_policy tetapi LLM/ML ada dalam keputusan. ","")&amp;IF(AND(U70="ya",V70=""),"PERIKSA: adaptif=ya wajib ada kutipan. ","")&amp;IF(AND(R70="none",U70&lt;&gt;"n/a_tanpa_evaluasi",U70&lt;&gt;""),"PERIKSA: tanpa evaluasi, adaptif harus n/a. ","")&amp;IF(AND(OR(R70="author_run",R70="author_run+independent",R70="independent_only"),Q70=""),"PERIKSA: isi kelas_dievaluasi. ","")&amp;IF(AND(OR(R70="author_run",R70="author_run+independent",R70="independent_only"),W70=""),"PERIKSA: isi lokasi_bukti. ","")&amp;IF(AND(H70="tidak",R70&lt;&gt;""),"PERIKSA: tanpa teks lengkap, kosongkan kolom evaluasi. ",""))</f>
        <v/>
      </c>
      <c r="AC70" t="inlineStr">
        <is>
          <t>include</t>
        </is>
      </c>
    </row>
    <row r="71" ht="409.6" customHeight="1" s="21">
      <c r="A71" s="8" t="inlineStr">
        <is>
          <t>arash-2025-mcp-bridge-lightweight-llm-agnostic</t>
        </is>
      </c>
      <c r="B71" s="8" t="inlineStr">
        <is>
          <t>MCP Bridge: A Lightweight, LLM-Agnostic RESTful Proxy for Model Context Protocol Servers</t>
        </is>
      </c>
      <c r="C71" s="8" t="n">
        <v>2025</v>
      </c>
      <c r="D71" s="8" t="inlineStr">
        <is>
          <t>E2</t>
        </is>
      </c>
      <c r="E71" s="8" t="inlineStr">
        <is>
          <t>kandidat_cek_recall</t>
        </is>
      </c>
      <c r="F71" s="8" t="inlineStr">
        <is>
          <t>none</t>
        </is>
      </c>
      <c r="G71" s="9" t="inlineStr">
        <is>
          <t>https://arxiv.org/abs/2504.08999</t>
        </is>
      </c>
      <c r="H71" s="10" t="inlineStr">
        <is>
          <t>ya</t>
        </is>
      </c>
      <c r="I71" s="10" t="inlineStr">
        <is>
          <t>position_other</t>
        </is>
      </c>
      <c r="J71" s="10" t="n"/>
      <c r="K71" s="10" t="n"/>
      <c r="L71" s="10" t="n"/>
      <c r="M71" s="10" t="n"/>
      <c r="N71" s="10" t="n"/>
      <c r="O71" s="10" t="n"/>
      <c r="P71" s="10" t="n"/>
      <c r="Q71" s="10" t="n"/>
      <c r="R71" s="10" t="n"/>
      <c r="S71" s="10" t="n"/>
      <c r="T71" s="10" t="n"/>
      <c r="U71" s="10" t="n"/>
      <c r="V71" s="10" t="n"/>
      <c r="W71" s="10" t="n"/>
      <c r="X71" s="10" t="n"/>
      <c r="Y71" s="10" t="n"/>
      <c r="Z71" s="10" t="inlineStr">
        <is>
          <t>Agent Recall: BUKAN_PERTAHANAN - Makalah rekayasa sistem/platform proxy RESTful untuk eksekusi server MCP di lingkungan resource-constrained; evaluasi berfokus pada latensi, throughput, dan fine-tuning Qwen3 pada MCPToolBench++, tanpa evaluasi mitigasi serangan keamanan.</t>
        </is>
      </c>
      <c r="AA71" s="11">
        <f>IF(I71="","",IF(OR(I71="attack",I71="survey_review",I71="benchmark_measurement",I71="position_other",I71="not_defense"),"n/a",IF(OR(X71="spec_normatif",X71="produksi_bukti_publik"),"L3",IF(ISNUMBER(SEARCH("independent",R71)),"L2",IF(R71="author_run","L1",IF(R71="none","L0",""))))))</f>
        <v/>
      </c>
      <c r="AB71" s="11">
        <f>IF(I71="","",IF(AND(K71="deterministic_policy",M71="ya"),"PERIKSA: deterministic_policy tetapi LLM/ML ada dalam keputusan. ","")&amp;IF(AND(U71="ya",V71=""),"PERIKSA: adaptif=ya wajib ada kutipan. ","")&amp;IF(AND(R71="none",U71&lt;&gt;"n/a_tanpa_evaluasi",U71&lt;&gt;""),"PERIKSA: tanpa evaluasi, adaptif harus n/a. ","")&amp;IF(AND(OR(R71="author_run",R71="author_run+independent",R71="independent_only"),Q71=""),"PERIKSA: isi kelas_dievaluasi. ","")&amp;IF(AND(OR(R71="author_run",R71="author_run+independent",R71="independent_only"),W71=""),"PERIKSA: isi lokasi_bukti. ","")&amp;IF(AND(H71="tidak",R71&lt;&gt;""),"PERIKSA: tanpa teks lengkap, kosongkan kolom evaluasi. ",""))</f>
        <v/>
      </c>
      <c r="AC71" t="inlineStr">
        <is>
          <t>include</t>
        </is>
      </c>
    </row>
    <row r="72" ht="409.6" customHeight="1" s="21">
      <c r="A72" s="8" t="inlineStr">
        <is>
          <t>biwei-2025-mcp-not-stand-misuse-cryptography</t>
        </is>
      </c>
      <c r="B72" s="8" t="inlineStr">
        <is>
          <t>"MCP Does Not Stand for Misuse Cryptography Protocol": Uncovering Cryptographic Misuse in Model Context Protocol at Scale</t>
        </is>
      </c>
      <c r="C72" s="8" t="n">
        <v>2025</v>
      </c>
      <c r="D72" s="8" t="inlineStr">
        <is>
          <t>E2</t>
        </is>
      </c>
      <c r="E72" s="8" t="inlineStr">
        <is>
          <t>kandidat_cek_recall</t>
        </is>
      </c>
      <c r="F72" s="8" t="inlineStr">
        <is>
          <t>none</t>
        </is>
      </c>
      <c r="G72" s="9" t="inlineStr">
        <is>
          <t>https://arxiv.org/abs/2512.03775</t>
        </is>
      </c>
      <c r="H72" s="10" t="inlineStr">
        <is>
          <t>ya</t>
        </is>
      </c>
      <c r="I72" s="10" t="inlineStr">
        <is>
          <t>defense_primary</t>
        </is>
      </c>
      <c r="J72" s="10" t="inlineStr">
        <is>
          <t>MICRYSCOPE</t>
        </is>
      </c>
      <c r="K72" s="10" t="inlineStr">
        <is>
          <t>content_inspection_static</t>
        </is>
      </c>
      <c r="L72" s="10" t="inlineStr">
        <is>
          <t>Kerangka analisis statis berbasis taint analysis dan intermediate representation untuk mendeteksi penyalahgunaan kriptografi (hardcoded keys, algoritma lemah, insecure transport) pada server MCP.</t>
        </is>
      </c>
      <c r="M72" s="10" t="inlineStr">
        <is>
          <t>tidak</t>
        </is>
      </c>
      <c r="N72" s="10" t="inlineStr">
        <is>
          <t>offline_analysis</t>
        </is>
      </c>
      <c r="O72" s="10" t="inlineStr">
        <is>
          <t>R4;R5</t>
        </is>
      </c>
      <c r="P72" s="10" t="inlineStr">
        <is>
          <t>C3;C5</t>
        </is>
      </c>
      <c r="Q72" s="10" t="inlineStr">
        <is>
          <t>C3;C5</t>
        </is>
      </c>
      <c r="R72" s="10" t="inlineStr">
        <is>
          <t>author_run</t>
        </is>
      </c>
      <c r="S72" s="10" t="n"/>
      <c r="T72" s="10" t="inlineStr">
        <is>
          <t>third_party_public</t>
        </is>
      </c>
      <c r="U72" s="10" t="inlineStr">
        <is>
          <t>tidak</t>
        </is>
      </c>
      <c r="V72" s="10" t="n"/>
      <c r="W72" s="10" t="inlineStr">
        <is>
          <t>Sec. 5, Fig. 8, Tabel 2-4</t>
        </is>
      </c>
      <c r="X72" s="10" t="inlineStr">
        <is>
          <t>none</t>
        </is>
      </c>
      <c r="Y72" s="10" t="inlineStr">
        <is>
          <t>not_reported</t>
        </is>
      </c>
      <c r="Z72" s="10" t="inlineStr">
        <is>
          <t>Kerangka pemindaian statis MICRYSCOPE untuk audit kriptografi pada implementasi server MCP ekosistem terbuka. Catatan deployment: prototipe internal/eksperimental (belum dirilis secara publik).</t>
        </is>
      </c>
      <c r="AA72" s="11">
        <f>IF(I72="","",IF(OR(I72="attack",I72="survey_review",I72="benchmark_measurement",I72="position_other",I72="not_defense"),"n/a",IF(OR(X72="spec_normatif",X72="produksi_bukti_publik"),"L3",IF(ISNUMBER(SEARCH("independent",R72)),"L2",IF(R72="author_run","L1",IF(R72="none","L0",""))))))</f>
        <v/>
      </c>
      <c r="AB72" s="11">
        <f>IF(I72="","",IF(AND(K72="deterministic_policy",M72="ya"),"PERIKSA: deterministic_policy tetapi LLM/ML ada dalam keputusan. ","")&amp;IF(AND(U72="ya",V72=""),"PERIKSA: adaptif=ya wajib ada kutipan. ","")&amp;IF(AND(R72="none",U72&lt;&gt;"n/a_tanpa_evaluasi",U72&lt;&gt;""),"PERIKSA: tanpa evaluasi, adaptif harus n/a. ","")&amp;IF(AND(OR(R72="author_run",R72="author_run+independent",R72="independent_only"),Q72=""),"PERIKSA: isi kelas_dievaluasi. ","")&amp;IF(AND(OR(R72="author_run",R72="author_run+independent",R72="independent_only"),W72=""),"PERIKSA: isi lokasi_bukti. ","")&amp;IF(AND(H72="tidak",R72&lt;&gt;""),"PERIKSA: tanpa teks lengkap, kosongkan kolom evaluasi. ",""))</f>
        <v/>
      </c>
      <c r="AC72" t="inlineStr">
        <is>
          <t>include</t>
        </is>
      </c>
    </row>
    <row r="73" ht="409.6" customHeight="1" s="21">
      <c r="A73" s="8" t="inlineStr">
        <is>
          <t>charoes-2026-model-context-protocol-threat-modeling</t>
        </is>
      </c>
      <c r="B73" s="8" t="inlineStr">
        <is>
          <t>Model Context Protocol Threat Modeling and Analyzing Vulnerabilities to Prompt Injection with Tool Poisoning</t>
        </is>
      </c>
      <c r="C73" s="8" t="n">
        <v>2026</v>
      </c>
      <c r="D73" s="8" t="inlineStr">
        <is>
          <t>E1</t>
        </is>
      </c>
      <c r="E73" s="8" t="inlineStr">
        <is>
          <t>kandidat_cek_recall</t>
        </is>
      </c>
      <c r="F73" s="8" t="inlineStr">
        <is>
          <t>none</t>
        </is>
      </c>
      <c r="G73" s="9" t="inlineStr">
        <is>
          <t>https://arxiv.org/abs/2603.22489</t>
        </is>
      </c>
      <c r="H73" s="10" t="inlineStr">
        <is>
          <t>ya</t>
        </is>
      </c>
      <c r="I73" s="10" t="inlineStr">
        <is>
          <t>survey_review</t>
        </is>
      </c>
      <c r="J73" s="10" t="n"/>
      <c r="K73" s="10" t="n"/>
      <c r="L73" s="10" t="n"/>
      <c r="M73" s="10" t="n"/>
      <c r="N73" s="10" t="n"/>
      <c r="O73" s="10" t="n"/>
      <c r="P73" s="10" t="n"/>
      <c r="Q73" s="10" t="n"/>
      <c r="R73" s="10" t="n"/>
      <c r="S73" s="10" t="n"/>
      <c r="T73" s="10" t="n"/>
      <c r="U73" s="10" t="n"/>
      <c r="V73" s="10" t="n"/>
      <c r="W73" s="10" t="n"/>
      <c r="X73" s="10" t="n"/>
      <c r="Y73" s="10" t="n"/>
      <c r="Z73" s="10" t="inlineStr">
        <is>
          <t>Pemodelan ancaman komprehensif STRIDE/DREAD (57 ancaman) untuk klien MCP dan evaluasi empiris kerentanan tool poisoning pada 7 klien MCP. Dikodekan sebagai survey_review (threat model) sesuai Pedoman Bagian 3.</t>
        </is>
      </c>
      <c r="AA73" s="11">
        <f>IF(I73="","",IF(OR(I73="attack",I73="survey_review",I73="benchmark_measurement",I73="position_other",I73="not_defense"),"n/a",IF(OR(X73="spec_normatif",X73="produksi_bukti_publik"),"L3",IF(ISNUMBER(SEARCH("independent",R73)),"L2",IF(R73="author_run","L1",IF(R73="none","L0",""))))))</f>
        <v/>
      </c>
      <c r="AB73" s="11">
        <f>IF(I73="","",IF(AND(K73="deterministic_policy",M73="ya"),"PERIKSA: deterministic_policy tetapi LLM/ML ada dalam keputusan. ","")&amp;IF(AND(U73="ya",V73=""),"PERIKSA: adaptif=ya wajib ada kutipan. ","")&amp;IF(AND(R73="none",U73&lt;&gt;"n/a_tanpa_evaluasi",U73&lt;&gt;""),"PERIKSA: tanpa evaluasi, adaptif harus n/a. ","")&amp;IF(AND(OR(R73="author_run",R73="author_run+independent",R73="independent_only"),Q73=""),"PERIKSA: isi kelas_dievaluasi. ","")&amp;IF(AND(OR(R73="author_run",R73="author_run+independent",R73="independent_only"),W73=""),"PERIKSA: isi lokasi_bukti. ","")&amp;IF(AND(H73="tidak",R73&lt;&gt;""),"PERIKSA: tanpa teks lengkap, kosongkan kolom evaluasi. ",""))</f>
        <v/>
      </c>
      <c r="AC73" t="inlineStr">
        <is>
          <t>include</t>
        </is>
      </c>
    </row>
    <row r="74" ht="409.6" customHeight="1" s="21">
      <c r="A74" s="8" t="inlineStr">
        <is>
          <t>haoran-2025-quantifying-conversation-drift-mcp-via</t>
        </is>
      </c>
      <c r="B74" s="8" t="inlineStr">
        <is>
          <t>Quantifying Conversation Drift in MCP via Latent Polytope</t>
        </is>
      </c>
      <c r="C74" s="8" t="n">
        <v>2025</v>
      </c>
      <c r="D74" s="8" t="inlineStr">
        <is>
          <t>E2</t>
        </is>
      </c>
      <c r="E74" s="8" t="inlineStr">
        <is>
          <t>kandidat_cek_recall</t>
        </is>
      </c>
      <c r="F74" s="8" t="inlineStr">
        <is>
          <t>none</t>
        </is>
      </c>
      <c r="G74" s="9" t="inlineStr">
        <is>
          <t>https://arxiv.org/abs/2508.06418</t>
        </is>
      </c>
      <c r="H74" s="10" t="inlineStr">
        <is>
          <t>ya</t>
        </is>
      </c>
      <c r="I74" s="10" t="inlineStr">
        <is>
          <t>defense_primary</t>
        </is>
      </c>
      <c r="J74" s="10" t="inlineStr">
        <is>
          <t>SECMCP</t>
        </is>
      </c>
      <c r="K74" s="10" t="inlineStr">
        <is>
          <t>content_inspection_runtime</t>
        </is>
      </c>
      <c r="L74" s="10" t="inlineStr">
        <is>
          <t>Mendeteksi pergeseran percakapan (conversation drift) pada interaksi MCP dengan mengukur lintasan ruang laten menggunakan analisis politop laten untuk memitigasi manipulasi resource adversarial.</t>
        </is>
      </c>
      <c r="M74" s="10" t="inlineStr">
        <is>
          <t>tidak</t>
        </is>
      </c>
      <c r="N74" s="10" t="inlineStr">
        <is>
          <t>gateway_proxy</t>
        </is>
      </c>
      <c r="O74" s="10" t="inlineStr">
        <is>
          <t>R2;R6</t>
        </is>
      </c>
      <c r="P74" s="10" t="inlineStr">
        <is>
          <t>A2;D2</t>
        </is>
      </c>
      <c r="Q74" s="10" t="inlineStr">
        <is>
          <t>A2;D2</t>
        </is>
      </c>
      <c r="R74" s="10" t="inlineStr">
        <is>
          <t>author_run</t>
        </is>
      </c>
      <c r="S74" s="10" t="n"/>
      <c r="T74" s="10" t="inlineStr">
        <is>
          <t>mixed</t>
        </is>
      </c>
      <c r="U74" s="10" t="inlineStr">
        <is>
          <t>tidak</t>
        </is>
      </c>
      <c r="V74" s="10" t="n"/>
      <c r="W74" s="10" t="inlineStr">
        <is>
          <t>Sec. 4-5, Table 1-3, Fig. 3</t>
        </is>
      </c>
      <c r="X74" s="10" t="inlineStr">
        <is>
          <t>none</t>
        </is>
      </c>
      <c r="Y74" s="10" t="inlineStr">
        <is>
          <t>dilaporkan: dampak utilitas jinak dapat diabaikan (Tabel 3)</t>
        </is>
      </c>
      <c r="Z74" s="10" t="inlineStr">
        <is>
          <t>SECMCP mendeteksi conversation drift pada interaksi MCP lewat pemodelan politop laten terhadap injeksi resource berbahaya. Catatan deployment: prototipe internal/eksperimental (belum dirilis secara publik).</t>
        </is>
      </c>
      <c r="AA74" s="11">
        <f>IF(I74="","",IF(OR(I74="attack",I74="survey_review",I74="benchmark_measurement",I74="position_other",I74="not_defense"),"n/a",IF(OR(X74="spec_normatif",X74="produksi_bukti_publik"),"L3",IF(ISNUMBER(SEARCH("independent",R74)),"L2",IF(R74="author_run","L1",IF(R74="none","L0",""))))))</f>
        <v/>
      </c>
      <c r="AB74" s="11">
        <f>IF(I74="","",IF(AND(K74="deterministic_policy",M74="ya"),"PERIKSA: deterministic_policy tetapi LLM/ML ada dalam keputusan. ","")&amp;IF(AND(U74="ya",V74=""),"PERIKSA: adaptif=ya wajib ada kutipan. ","")&amp;IF(AND(R74="none",U74&lt;&gt;"n/a_tanpa_evaluasi",U74&lt;&gt;""),"PERIKSA: tanpa evaluasi, adaptif harus n/a. ","")&amp;IF(AND(OR(R74="author_run",R74="author_run+independent",R74="independent_only"),Q74=""),"PERIKSA: isi kelas_dievaluasi. ","")&amp;IF(AND(OR(R74="author_run",R74="author_run+independent",R74="independent_only"),W74=""),"PERIKSA: isi lokasi_bukti. ","")&amp;IF(AND(H74="tidak",R74&lt;&gt;""),"PERIKSA: tanpa teks lengkap, kosongkan kolom evaluasi. ",""))</f>
        <v/>
      </c>
      <c r="AC74" t="inlineStr">
        <is>
          <t>include</t>
        </is>
      </c>
    </row>
    <row r="75" ht="409.6" customHeight="1" s="21">
      <c r="A75" s="8" t="inlineStr">
        <is>
          <t>huijun-2026-first-measurement-study-authentication-security</t>
        </is>
      </c>
      <c r="B75" s="8" t="inlineStr">
        <is>
          <t>A First Measurement Study on Authentication Security in Real-World Remote MCP Servers</t>
        </is>
      </c>
      <c r="C75" s="8" t="n">
        <v>2026</v>
      </c>
      <c r="D75" s="8" t="inlineStr">
        <is>
          <t>E2</t>
        </is>
      </c>
      <c r="E75" s="8" t="inlineStr">
        <is>
          <t>kandidat_cek_recall</t>
        </is>
      </c>
      <c r="F75" s="8" t="inlineStr">
        <is>
          <t>none</t>
        </is>
      </c>
      <c r="G75" s="9" t="inlineStr">
        <is>
          <t>https://arxiv.org/abs/2605.22333</t>
        </is>
      </c>
      <c r="H75" s="10" t="inlineStr">
        <is>
          <t>ya</t>
        </is>
      </c>
      <c r="I75" s="10" t="inlineStr">
        <is>
          <t>benchmark_measurement</t>
        </is>
      </c>
      <c r="J75" s="10" t="n"/>
      <c r="K75" s="10" t="n"/>
      <c r="L75" s="10" t="n"/>
      <c r="M75" s="10" t="n"/>
      <c r="N75" s="10" t="n"/>
      <c r="O75" s="10" t="n"/>
      <c r="P75" s="10" t="n"/>
      <c r="Q75" s="10" t="n"/>
      <c r="R75" s="10" t="n"/>
      <c r="S75" s="10" t="n"/>
      <c r="T75" s="10" t="n"/>
      <c r="U75" s="10" t="n"/>
      <c r="V75" s="10" t="n"/>
      <c r="W75" s="10" t="n"/>
      <c r="X75" s="10" t="n"/>
      <c r="Y75" s="10" t="n"/>
      <c r="Z75" s="10" t="inlineStr">
        <is>
          <t>Agent Recall: BUKAN_PERTAHANAN - Studi pengukuran empiris skala besar terhadap keamanan autentikasi OAuth pada 7.973 remote server MCP di dunia nyata, mengungkap 325 cacat keamanan dan 9 CVE (contoh eksplisit Pedoman Bagian 3: Zhou et al. = benchmark_measurement).</t>
        </is>
      </c>
      <c r="AA75" s="11">
        <f>IF(I75="","",IF(OR(I75="attack",I75="survey_review",I75="benchmark_measurement",I75="position_other",I75="not_defense"),"n/a",IF(OR(X75="spec_normatif",X75="produksi_bukti_publik"),"L3",IF(ISNUMBER(SEARCH("independent",R75)),"L2",IF(R75="author_run","L1",IF(R75="none","L0",""))))))</f>
        <v/>
      </c>
      <c r="AB75" s="11">
        <f>IF(I75="","",IF(AND(K75="deterministic_policy",M75="ya"),"PERIKSA: deterministic_policy tetapi LLM/ML ada dalam keputusan. ","")&amp;IF(AND(U75="ya",V75=""),"PERIKSA: adaptif=ya wajib ada kutipan. ","")&amp;IF(AND(R75="none",U75&lt;&gt;"n/a_tanpa_evaluasi",U75&lt;&gt;""),"PERIKSA: tanpa evaluasi, adaptif harus n/a. ","")&amp;IF(AND(OR(R75="author_run",R75="author_run+independent",R75="independent_only"),Q75=""),"PERIKSA: isi kelas_dievaluasi. ","")&amp;IF(AND(OR(R75="author_run",R75="author_run+independent",R75="independent_only"),W75=""),"PERIKSA: isi lokasi_bukti. ","")&amp;IF(AND(H75="tidak",R75&lt;&gt;""),"PERIKSA: tanpa teks lengkap, kosongkan kolom evaluasi. ",""))</f>
        <v/>
      </c>
      <c r="AC75" t="inlineStr">
        <is>
          <t>include</t>
        </is>
      </c>
    </row>
    <row r="76" ht="393" customHeight="1" s="21">
      <c r="A76" s="8" t="inlineStr">
        <is>
          <t>mehrdad-2026-trustshiftprobe-characterizing-benchmarking-defending-staged</t>
        </is>
      </c>
      <c r="B76" s="8" t="inlineStr">
        <is>
          <t>TrustShiftProbe: Characterizing, Benchmarking, and Defending Staged Trust Attacks on MCP Servers</t>
        </is>
      </c>
      <c r="C76" s="8" t="n">
        <v>2026</v>
      </c>
      <c r="D76" s="8" t="inlineStr">
        <is>
          <t>E2</t>
        </is>
      </c>
      <c r="E76" s="8" t="inlineStr">
        <is>
          <t>kandidat_cek_recall</t>
        </is>
      </c>
      <c r="F76" s="8" t="inlineStr">
        <is>
          <t>none</t>
        </is>
      </c>
      <c r="G76" s="9" t="inlineStr">
        <is>
          <t>https://arxiv.org/abs/2608.23763</t>
        </is>
      </c>
      <c r="H76" s="10" t="inlineStr">
        <is>
          <t>ya</t>
        </is>
      </c>
      <c r="I76" s="10" t="inlineStr">
        <is>
          <t>defense_primary</t>
        </is>
      </c>
      <c r="J76" s="10" t="inlineStr">
        <is>
          <t>SHIELD</t>
        </is>
      </c>
      <c r="K76" s="10" t="inlineStr">
        <is>
          <t>content_inspection_runtime</t>
        </is>
      </c>
      <c r="L76" s="10" t="inlineStr">
        <is>
          <t>Pertahanan runtime multi-tingkat pada batas transport MCP yang mengaudit payload respons server terhadap profil baseline perilaku yang dipelajari selama jendela kepercayaan bersih.</t>
        </is>
      </c>
      <c r="M76" s="10" t="inlineStr">
        <is>
          <t>tidak</t>
        </is>
      </c>
      <c r="N76" s="10" t="inlineStr">
        <is>
          <t>gateway_proxy</t>
        </is>
      </c>
      <c r="O76" s="10" t="inlineStr">
        <is>
          <t>R2;R5;R7</t>
        </is>
      </c>
      <c r="P76" s="10" t="inlineStr">
        <is>
          <t>B1;C5;D1</t>
        </is>
      </c>
      <c r="Q76" s="10" t="inlineStr">
        <is>
          <t>B1;C5;D1</t>
        </is>
      </c>
      <c r="R76" s="10" t="inlineStr">
        <is>
          <t>author_run</t>
        </is>
      </c>
      <c r="S76" s="10" t="n"/>
      <c r="T76" s="10" t="inlineStr">
        <is>
          <t>authors_own</t>
        </is>
      </c>
      <c r="U76" s="10" t="inlineStr">
        <is>
          <t>tidak</t>
        </is>
      </c>
      <c r="V76" s="10" t="n"/>
      <c r="W76" s="10" t="inlineStr">
        <is>
          <t>Sec. VI, Table III &amp; IV, Fig. 4</t>
        </is>
      </c>
      <c r="X76" s="10" t="inlineStr">
        <is>
          <t>none</t>
        </is>
      </c>
      <c r="Y76" s="10" t="inlineStr">
        <is>
          <t>dilaporkan: overhead latensi runtime (Tabel IV)</t>
        </is>
      </c>
      <c r="Z76" s="10" t="inlineStr">
        <is>
          <t>SHIELD adalah pertahanan runtime batas transport MCP terhadap serangan defeksi bertahap (TrustShift) pada server MCP. Catatan deployment: prototipe internal/eksperimental (belum dirilis secara publik).</t>
        </is>
      </c>
      <c r="AA76" s="11">
        <f>IF(I76="","",IF(OR(I76="attack",I76="survey_review",I76="benchmark_measurement",I76="position_other",I76="not_defense"),"n/a",IF(OR(X76="spec_normatif",X76="produksi_bukti_publik"),"L3",IF(ISNUMBER(SEARCH("independent",R76)),"L2",IF(R76="author_run","L1",IF(R76="none","L0",""))))))</f>
        <v/>
      </c>
      <c r="AB76" s="11">
        <f>IF(I76="","",IF(AND(K76="deterministic_policy",M76="ya"),"PERIKSA: deterministic_policy tetapi LLM/ML ada dalam keputusan. ","")&amp;IF(AND(U76="ya",V76=""),"PERIKSA: adaptif=ya wajib ada kutipan. ","")&amp;IF(AND(R76="none",U76&lt;&gt;"n/a_tanpa_evaluasi",U76&lt;&gt;""),"PERIKSA: tanpa evaluasi, adaptif harus n/a. ","")&amp;IF(AND(OR(R76="author_run",R76="author_run+independent",R76="independent_only"),Q76=""),"PERIKSA: isi kelas_dievaluasi. ","")&amp;IF(AND(OR(R76="author_run",R76="author_run+independent",R76="independent_only"),W76=""),"PERIKSA: isi lokasi_bukti. ","")&amp;IF(AND(H76="tidak",R76&lt;&gt;""),"PERIKSA: tanpa teks lengkap, kosongkan kolom evaluasi. ",""))</f>
        <v/>
      </c>
      <c r="AC76" t="inlineStr">
        <is>
          <t>include</t>
        </is>
      </c>
    </row>
    <row r="77" ht="393" customHeight="1" s="21">
      <c r="A77" s="8" t="inlineStr">
        <is>
          <t>mohsen-2026-securing-ai-agents-cyber-physical</t>
        </is>
      </c>
      <c r="B77" s="8" t="inlineStr">
        <is>
          <t>Securing AI Agents in Cyber-Physical Systems: A Survey of Environmental Interactions, Deepfake Threats, and Defenses</t>
        </is>
      </c>
      <c r="C77" s="8" t="n">
        <v>2026</v>
      </c>
      <c r="D77" s="8" t="inlineStr">
        <is>
          <t>E2</t>
        </is>
      </c>
      <c r="E77" s="8" t="inlineStr">
        <is>
          <t>kandidat_cek_recall</t>
        </is>
      </c>
      <c r="F77" s="8" t="inlineStr">
        <is>
          <t>none</t>
        </is>
      </c>
      <c r="G77" s="9" t="inlineStr">
        <is>
          <t>https://arxiv.org/abs/2601.20184</t>
        </is>
      </c>
      <c r="H77" s="10" t="inlineStr">
        <is>
          <t>ya</t>
        </is>
      </c>
      <c r="I77" s="10" t="inlineStr">
        <is>
          <t>survey_review</t>
        </is>
      </c>
      <c r="J77" s="10" t="n"/>
      <c r="K77" s="10" t="n"/>
      <c r="L77" s="10" t="n"/>
      <c r="M77" s="10" t="n"/>
      <c r="N77" s="10" t="n"/>
      <c r="O77" s="10" t="n"/>
      <c r="P77" s="10" t="n"/>
      <c r="Q77" s="10" t="n"/>
      <c r="R77" s="10" t="n"/>
      <c r="S77" s="10" t="n"/>
      <c r="T77" s="10" t="n"/>
      <c r="U77" s="10" t="n"/>
      <c r="V77" s="10" t="n"/>
      <c r="W77" s="10" t="n"/>
      <c r="X77" s="10" t="n"/>
      <c r="Y77" s="10" t="n"/>
      <c r="Z77" s="10" t="inlineStr">
        <is>
          <t>Agent Recall: BUKAN_PERTAHANAN - Makalah survei/tinjauan komprehensif ancaman keamanan agen AI pada cyber-physical systems termasuk kerentanan mediasi MCP dan kerangka SENTINEL (sesuai Pedoman Bagian 3 Penegasan: survei pertahanan diklasifikasikan sebagai survey_review).</t>
        </is>
      </c>
      <c r="AA77" s="11">
        <f>IF(I77="","",IF(OR(I77="attack",I77="survey_review",I77="benchmark_measurement",I77="position_other",I77="not_defense"),"n/a",IF(OR(X77="spec_normatif",X77="produksi_bukti_publik"),"L3",IF(ISNUMBER(SEARCH("independent",R77)),"L2",IF(R77="author_run","L1",IF(R77="none","L0",""))))))</f>
        <v/>
      </c>
      <c r="AB77" s="11">
        <f>IF(I77="","",IF(AND(K77="deterministic_policy",M77="ya"),"PERIKSA: deterministic_policy tetapi LLM/ML ada dalam keputusan. ","")&amp;IF(AND(U77="ya",V77=""),"PERIKSA: adaptif=ya wajib ada kutipan. ","")&amp;IF(AND(R77="none",U77&lt;&gt;"n/a_tanpa_evaluasi",U77&lt;&gt;""),"PERIKSA: tanpa evaluasi, adaptif harus n/a. ","")&amp;IF(AND(OR(R77="author_run",R77="author_run+independent",R77="independent_only"),Q77=""),"PERIKSA: isi kelas_dievaluasi. ","")&amp;IF(AND(OR(R77="author_run",R77="author_run+independent",R77="independent_only"),W77=""),"PERIKSA: isi lokasi_bukti. ","")&amp;IF(AND(H77="tidak",R77&lt;&gt;""),"PERIKSA: tanpa teks lengkap, kosongkan kolom evaluasi. ",""))</f>
        <v/>
      </c>
      <c r="AC77" t="inlineStr">
        <is>
          <t>include</t>
        </is>
      </c>
    </row>
    <row r="78" ht="409.6" customHeight="1" s="21">
      <c r="A78" s="8" t="inlineStr">
        <is>
          <t>n-2025-breaking-protocol-security-analysis-model</t>
        </is>
      </c>
      <c r="B78" s="8" t="inlineStr">
        <is>
          <t>Breaking the Protocol: Security Analysis of the Model Context Protocol Specification and Prompt Injection Vulnerabilities in Tool-Integrated LLM Agents</t>
        </is>
      </c>
      <c r="C78" s="8" t="n">
        <v>2025</v>
      </c>
      <c r="D78" s="8" t="inlineStr">
        <is>
          <t>E1</t>
        </is>
      </c>
      <c r="E78" s="8" t="inlineStr">
        <is>
          <t>kandidat_cek_recall</t>
        </is>
      </c>
      <c r="F78" s="8" t="inlineStr">
        <is>
          <t>none</t>
        </is>
      </c>
      <c r="G78" s="9" t="inlineStr">
        <is>
          <t>https://doi.org/10.25559/sitito.021.202503.420-428</t>
        </is>
      </c>
      <c r="H78" s="10" t="inlineStr">
        <is>
          <t>ya</t>
        </is>
      </c>
      <c r="I78" s="10" t="inlineStr">
        <is>
          <t>defense_secondary</t>
        </is>
      </c>
      <c r="J78" s="10" t="inlineStr">
        <is>
          <t>AttestMCP</t>
        </is>
      </c>
      <c r="K78" s="10" t="inlineStr">
        <is>
          <t>integrity_provenance</t>
        </is>
      </c>
      <c r="L78" s="10" t="inlineStr">
        <is>
          <t>Ekstensi protokol AttestMCP berbasis sertifikat kapabilitas federated CA, autentikasi pesan HMAC-SHA256, origin tagging, dan sliding window nonces untuk menjamin integritas pertukaran pesan MCP.</t>
        </is>
      </c>
      <c r="M78" s="10" t="inlineStr">
        <is>
          <t>tidak</t>
        </is>
      </c>
      <c r="N78" s="10" t="inlineStr">
        <is>
          <t>C</t>
        </is>
      </c>
      <c r="O78" s="10" t="inlineStr">
        <is>
          <t>R1;R2;R4;R6</t>
        </is>
      </c>
      <c r="P78" s="10" t="inlineStr">
        <is>
          <t>A2;C3;C5;D1</t>
        </is>
      </c>
      <c r="Q78" s="10" t="inlineStr">
        <is>
          <t>A2;D1</t>
        </is>
      </c>
      <c r="R78" s="10" t="inlineStr">
        <is>
          <t>author_run</t>
        </is>
      </c>
      <c r="S78" s="10" t="n"/>
      <c r="T78" s="10" t="inlineStr">
        <is>
          <t>authors_own</t>
        </is>
      </c>
      <c r="U78" s="10" t="inlineStr">
        <is>
          <t>tidak</t>
        </is>
      </c>
      <c r="V78" s="10" t="n"/>
      <c r="W78" s="10" t="inlineStr">
        <is>
          <t>Sec. VI; Table IX &amp; X; hal. 5-6</t>
        </is>
      </c>
      <c r="X78" s="10" t="inlineStr">
        <is>
          <t>none</t>
        </is>
      </c>
      <c r="Y78" s="10" t="inlineStr">
        <is>
          <t>latensi 2.4 ms (warm) / 8.3 ms (cold) per pesan (Tabel IX)</t>
        </is>
      </c>
      <c r="Z78" s="10" t="inlineStr">
        <is>
          <t>Teks lengkap diunduh via arXiv:2601.17549. Evaluasi empiris author_run pada benchmark ProtoAmp (847 skenario): menurunkan ASR sebesar 76.5% (dari 52.8% ke 12.4%, Tabel X); overhead latensi 2.4 ms warm / 8.3 ms cold (Tabel IX). Catatan deployment: prototipe internal/eksperimental (belum dirilis secara publik).</t>
        </is>
      </c>
      <c r="AA78" s="11">
        <f>IF(I78="","",IF(OR(I78="attack",I78="survey_review",I78="benchmark_measurement",I78="position_other",I78="not_defense"),"n/a",IF(OR(X78="spec_normatif",X78="produksi_bukti_publik"),"L3",IF(ISNUMBER(SEARCH("independent",R78)),"L2",IF(R78="author_run","L1",IF(R78="none","L0",""))))))</f>
        <v/>
      </c>
      <c r="AB78" s="11">
        <f>IF(I78="","",IF(AND(K78="deterministic_policy",M78="ya"),"PERIKSA: deterministic_policy tetapi LLM/ML ada dalam keputusan. ","")&amp;IF(AND(U78="ya",V78=""),"PERIKSA: adaptif=ya wajib ada kutipan. ","")&amp;IF(AND(R78="none",U78&lt;&gt;"n/a_tanpa_evaluasi",U78&lt;&gt;""),"PERIKSA: tanpa evaluasi, adaptif harus n/a. ","")&amp;IF(AND(OR(R78="author_run",R78="author_run+independent",R78="independent_only"),Q78=""),"PERIKSA: isi kelas_dievaluasi. ","")&amp;IF(AND(OR(R78="author_run",R78="author_run+independent",R78="independent_only"),W78=""),"PERIKSA: isi lokasi_bukti. ","")&amp;IF(AND(H78="tidak",R78&lt;&gt;""),"PERIKSA: tanpa teks lengkap, kosongkan kolom evaluasi. ",""))</f>
        <v/>
      </c>
      <c r="AC78" t="inlineStr">
        <is>
          <t>include</t>
        </is>
      </c>
    </row>
    <row r="79" ht="292.5" customHeight="1" s="21">
      <c r="A79" s="8" t="inlineStr">
        <is>
          <t>pei-2026-rethinking-mcp-security-large-scale</t>
        </is>
      </c>
      <c r="B79" s="8" t="inlineStr">
        <is>
          <t>Rethinking MCP Security: A Large-Scale Study of Runtime MCP Servers and Security Scanner Reliability</t>
        </is>
      </c>
      <c r="C79" s="8" t="n">
        <v>2026</v>
      </c>
      <c r="D79" s="8" t="inlineStr">
        <is>
          <t>E2</t>
        </is>
      </c>
      <c r="E79" s="8" t="inlineStr">
        <is>
          <t>kandidat_cek_recall</t>
        </is>
      </c>
      <c r="F79" s="8" t="inlineStr">
        <is>
          <t>none</t>
        </is>
      </c>
      <c r="G79" s="9" t="inlineStr">
        <is>
          <t>https://arxiv.org/abs/2607.11086</t>
        </is>
      </c>
      <c r="H79" s="10" t="inlineStr">
        <is>
          <t>ya</t>
        </is>
      </c>
      <c r="I79" s="10" t="inlineStr">
        <is>
          <t>benchmark_measurement</t>
        </is>
      </c>
      <c r="J79" s="10" t="n"/>
      <c r="K79" s="10" t="n"/>
      <c r="L79" s="10" t="n"/>
      <c r="M79" s="10" t="n"/>
      <c r="N79" s="10" t="n"/>
      <c r="O79" s="10" t="n"/>
      <c r="P79" s="10" t="n"/>
      <c r="Q79" s="10" t="n"/>
      <c r="R79" s="10" t="n"/>
      <c r="S79" s="10" t="n"/>
      <c r="T79" s="10" t="n"/>
      <c r="U79" s="10" t="n"/>
      <c r="V79" s="10" t="n"/>
      <c r="W79" s="10" t="n"/>
      <c r="X79" s="10" t="n"/>
      <c r="Y79" s="10" t="n"/>
      <c r="Z79" s="10" t="inlineStr">
        <is>
          <t>Agent Recall: BUKAN_PERTAHANAN - Studi pengukuran dan penyusunan dataset MCPZoo (64.611 server MCP) untuk menguji serta mengukur reliabilitas security scanner yang ada di ekosistem MCP.</t>
        </is>
      </c>
      <c r="AA79" s="11">
        <f>IF(I79="","",IF(OR(I79="attack",I79="survey_review",I79="benchmark_measurement",I79="position_other",I79="not_defense"),"n/a",IF(OR(X79="spec_normatif",X79="produksi_bukti_publik"),"L3",IF(ISNUMBER(SEARCH("independent",R79)),"L2",IF(R79="author_run","L1",IF(R79="none","L0",""))))))</f>
        <v/>
      </c>
      <c r="AB79" s="11">
        <f>IF(I79="","",IF(AND(K79="deterministic_policy",M79="ya"),"PERIKSA: deterministic_policy tetapi LLM/ML ada dalam keputusan. ","")&amp;IF(AND(U79="ya",V79=""),"PERIKSA: adaptif=ya wajib ada kutipan. ","")&amp;IF(AND(R79="none",U79&lt;&gt;"n/a_tanpa_evaluasi",U79&lt;&gt;""),"PERIKSA: tanpa evaluasi, adaptif harus n/a. ","")&amp;IF(AND(OR(R79="author_run",R79="author_run+independent",R79="independent_only"),Q79=""),"PERIKSA: isi kelas_dievaluasi. ","")&amp;IF(AND(OR(R79="author_run",R79="author_run+independent",R79="independent_only"),W79=""),"PERIKSA: isi lokasi_bukti. ","")&amp;IF(AND(H79="tidak",R79&lt;&gt;""),"PERIKSA: tanpa teks lengkap, kosongkan kolom evaluasi. ",""))</f>
        <v/>
      </c>
      <c r="AC79" t="inlineStr">
        <is>
          <t>include</t>
        </is>
      </c>
    </row>
    <row r="80" ht="404.25" customHeight="1" s="21">
      <c r="A80" s="8" t="inlineStr">
        <is>
          <t>pengyu-2026-viper-mcp-detecting-exploiting-taint</t>
        </is>
      </c>
      <c r="B80" s="8" t="inlineStr">
        <is>
          <t>VIPER-MCP: Detecting and Exploiting Taint-Style Vulnerabilities in Model Context Protocol Servers</t>
        </is>
      </c>
      <c r="C80" s="8" t="n">
        <v>2026</v>
      </c>
      <c r="D80" s="8" t="inlineStr">
        <is>
          <t>E2</t>
        </is>
      </c>
      <c r="E80" s="8" t="inlineStr">
        <is>
          <t>kandidat_cek_recall</t>
        </is>
      </c>
      <c r="F80" s="8" t="inlineStr">
        <is>
          <t>none</t>
        </is>
      </c>
      <c r="G80" s="9" t="inlineStr">
        <is>
          <t>https://arxiv.org/abs/2605.21392</t>
        </is>
      </c>
      <c r="H80" s="10" t="inlineStr">
        <is>
          <t>ya</t>
        </is>
      </c>
      <c r="I80" s="10" t="inlineStr">
        <is>
          <t>defense_primary</t>
        </is>
      </c>
      <c r="J80" s="10" t="inlineStr">
        <is>
          <t>VIPER-MCP</t>
        </is>
      </c>
      <c r="K80" s="10" t="inlineStr">
        <is>
          <t>content_inspection_static</t>
        </is>
      </c>
      <c r="L80" s="10" t="inlineStr">
        <is>
          <t>Kerangka pendeteksi kerentanan server MCP berbasis pelacakan taint hybrid (statis-dinamis) dan fuzzing terisolasi untuk mengidentifikasi eksfiltrasi dan injeksi perintah.</t>
        </is>
      </c>
      <c r="M80" s="10" t="inlineStr">
        <is>
          <t>tidak</t>
        </is>
      </c>
      <c r="N80" s="10" t="inlineStr">
        <is>
          <t>offline_analysis</t>
        </is>
      </c>
      <c r="O80" s="10" t="inlineStr">
        <is>
          <t>R2;R5</t>
        </is>
      </c>
      <c r="P80" s="10" t="inlineStr">
        <is>
          <t>A2;C5;D1</t>
        </is>
      </c>
      <c r="Q80" s="10" t="inlineStr">
        <is>
          <t>A2;C5;D1</t>
        </is>
      </c>
      <c r="R80" s="10" t="inlineStr">
        <is>
          <t>author_run</t>
        </is>
      </c>
      <c r="S80" s="10" t="n"/>
      <c r="T80" s="10" t="inlineStr">
        <is>
          <t>mixed</t>
        </is>
      </c>
      <c r="U80" s="10" t="inlineStr">
        <is>
          <t>tidak</t>
        </is>
      </c>
      <c r="V80" s="10" t="n"/>
      <c r="W80" s="10" t="inlineStr">
        <is>
          <t>Sec. 5.3, Tabel 2, hal. 10-11</t>
        </is>
      </c>
      <c r="X80" s="10" t="inlineStr">
        <is>
          <t>none</t>
        </is>
      </c>
      <c r="Y80" s="10" t="inlineStr">
        <is>
          <t>dilaporkan: waktu analisis rata-rata per server (Sec. 5.3)</t>
        </is>
      </c>
      <c r="Z80" s="10" t="inlineStr">
        <is>
          <t>VIPER-MCP (defense_primary, L1). Evaluator independen bagi McpSafetyScanner sebagai baseline pesaing di Tabel 2 (hal. 11: FPR 43.1%, FNR 63.8%). Catatan deployment: prototipe internal/eksperimental (belum dirilis secara publik).</t>
        </is>
      </c>
      <c r="AA80" s="11">
        <f>IF(I80="","",IF(OR(I80="attack",I80="survey_review",I80="benchmark_measurement",I80="position_other",I80="not_defense"),"n/a",IF(OR(X80="spec_normatif",X80="produksi_bukti_publik"),"L3",IF(ISNUMBER(SEARCH("independent",R80)),"L2",IF(R80="author_run","L1",IF(R80="none","L0",""))))))</f>
        <v/>
      </c>
      <c r="AB80" s="11">
        <f>IF(I80="","",IF(AND(K80="deterministic_policy",M80="ya"),"PERIKSA: deterministic_policy tetapi LLM/ML ada dalam keputusan. ","")&amp;IF(AND(U80="ya",V80=""),"PERIKSA: adaptif=ya wajib ada kutipan. ","")&amp;IF(AND(R80="none",U80&lt;&gt;"n/a_tanpa_evaluasi",U80&lt;&gt;""),"PERIKSA: tanpa evaluasi, adaptif harus n/a. ","")&amp;IF(AND(OR(R80="author_run",R80="author_run+independent",R80="independent_only"),Q80=""),"PERIKSA: isi kelas_dievaluasi. ","")&amp;IF(AND(OR(R80="author_run",R80="author_run+independent",R80="independent_only"),W80=""),"PERIKSA: isi lokasi_bukti. ","")&amp;IF(AND(H80="tidak",R80&lt;&gt;""),"PERIKSA: tanpa teks lengkap, kosongkan kolom evaluasi. ",""))</f>
        <v/>
      </c>
      <c r="AC80" t="inlineStr">
        <is>
          <t>include</t>
        </is>
      </c>
    </row>
    <row r="81" ht="409.6" customHeight="1" s="21">
      <c r="A81" s="8" t="inlineStr">
        <is>
          <t>saeid-2025-semantic-attacks-tool-augmented-llms</t>
        </is>
      </c>
      <c r="B81" s="8" t="inlineStr">
        <is>
          <t>Semantic Attacks on Tool-Augmented LLMs: Securing the Model Context Protocol Against Descriptor-Level Manipulation</t>
        </is>
      </c>
      <c r="C81" s="8" t="n">
        <v>2025</v>
      </c>
      <c r="D81" s="8" t="inlineStr">
        <is>
          <t>E2</t>
        </is>
      </c>
      <c r="E81" s="8" t="inlineStr">
        <is>
          <t>kandidat_cek_recall</t>
        </is>
      </c>
      <c r="F81" s="8" t="inlineStr">
        <is>
          <t>none</t>
        </is>
      </c>
      <c r="G81" s="9" t="inlineStr">
        <is>
          <t>https://arxiv.org/abs/2512.06556</t>
        </is>
      </c>
      <c r="H81" s="10" t="inlineStr">
        <is>
          <t>ya</t>
        </is>
      </c>
      <c r="I81" s="10" t="inlineStr">
        <is>
          <t>defense_primary</t>
        </is>
      </c>
      <c r="J81" s="10" t="inlineStr">
        <is>
          <t>unnamed:layered semantic defense</t>
        </is>
      </c>
      <c r="K81" s="10" t="inlineStr">
        <is>
          <t>content_inspection_runtime</t>
        </is>
      </c>
      <c r="L81" s="10" t="inlineStr">
        <is>
          <t>Pertahanan berlapis yang menggabungkan verifikasi integritas deskriptor tool, pemeriksaan semantik pra-konteks via LLM pembantu, dan guardrail runtime untuk mencegah manipulasi deskriptor.</t>
        </is>
      </c>
      <c r="M81" s="10" t="inlineStr">
        <is>
          <t>ya</t>
        </is>
      </c>
      <c r="N81" s="10" t="inlineStr">
        <is>
          <t>gateway_proxy</t>
        </is>
      </c>
      <c r="O81" s="10" t="inlineStr">
        <is>
          <t>R2;R7</t>
        </is>
      </c>
      <c r="P81" s="10" t="inlineStr">
        <is>
          <t>A1;A3;B1</t>
        </is>
      </c>
      <c r="Q81" s="10" t="inlineStr">
        <is>
          <t>A1;A3;B1</t>
        </is>
      </c>
      <c r="R81" s="10" t="inlineStr">
        <is>
          <t>author_run</t>
        </is>
      </c>
      <c r="S81" s="10" t="n"/>
      <c r="T81" s="10" t="inlineStr">
        <is>
          <t>authors_own</t>
        </is>
      </c>
      <c r="U81" s="10" t="inlineStr">
        <is>
          <t>tidak</t>
        </is>
      </c>
      <c r="V81" s="10" t="n"/>
      <c r="W81" s="10" t="inlineStr">
        <is>
          <t>Sec. IV, Table 2-4, hal. 6-9</t>
        </is>
      </c>
      <c r="X81" s="10" t="inlineStr">
        <is>
          <t>none</t>
        </is>
      </c>
      <c r="Y81" s="10" t="inlineStr">
        <is>
          <t>dilaporkan: trade-off latensi dan keamanan antar arsitektur LLM (Sec. IV-C)</t>
        </is>
      </c>
      <c r="Z81" s="10" t="inlineStr">
        <is>
          <t>Mengevaluasi pertahanan berlapis terhadap manipulasi semantik deskriptor tool pada lingkungan MCP.</t>
        </is>
      </c>
      <c r="AA81" s="11">
        <f>IF(I81="","",IF(OR(I81="attack",I81="survey_review",I81="benchmark_measurement",I81="position_other",I81="not_defense"),"n/a",IF(OR(X81="spec_normatif",X81="produksi_bukti_publik"),"L3",IF(ISNUMBER(SEARCH("independent",R81)),"L2",IF(R81="author_run","L1",IF(R81="none","L0",""))))))</f>
        <v/>
      </c>
      <c r="AB81" s="11">
        <f>IF(I81="","",IF(AND(K81="deterministic_policy",M81="ya"),"PERIKSA: deterministic_policy tetapi LLM/ML ada dalam keputusan. ","")&amp;IF(AND(U81="ya",V81=""),"PERIKSA: adaptif=ya wajib ada kutipan. ","")&amp;IF(AND(R81="none",U81&lt;&gt;"n/a_tanpa_evaluasi",U81&lt;&gt;""),"PERIKSA: tanpa evaluasi, adaptif harus n/a. ","")&amp;IF(AND(OR(R81="author_run",R81="author_run+independent",R81="independent_only"),Q81=""),"PERIKSA: isi kelas_dievaluasi. ","")&amp;IF(AND(OR(R81="author_run",R81="author_run+independent",R81="independent_only"),W81=""),"PERIKSA: isi lokasi_bukti. ","")&amp;IF(AND(H81="tidak",R81&lt;&gt;""),"PERIKSA: tanpa teks lengkap, kosongkan kolom evaluasi. ",""))</f>
        <v/>
      </c>
      <c r="AC81" t="inlineStr">
        <is>
          <t>include</t>
        </is>
      </c>
    </row>
    <row r="82" ht="409.6" customHeight="1" s="21">
      <c r="A82" s="8" t="inlineStr">
        <is>
          <t>saeid-2026-verifiable-manifest-signing-transparency-enforcement</t>
        </is>
      </c>
      <c r="B82" s="8" t="inlineStr">
        <is>
          <t>Verifiable Manifest Signing and Transparency Enforcement for Secure MCP-Based LLM Pipelines</t>
        </is>
      </c>
      <c r="C82" s="8" t="n">
        <v>2026</v>
      </c>
      <c r="D82" s="8" t="inlineStr">
        <is>
          <t>E2</t>
        </is>
      </c>
      <c r="E82" s="8" t="inlineStr">
        <is>
          <t>kandidat_cek_recall</t>
        </is>
      </c>
      <c r="F82" s="8" t="inlineStr">
        <is>
          <t>none</t>
        </is>
      </c>
      <c r="G82" s="9" t="inlineStr">
        <is>
          <t>https://arxiv.org/abs/2601.23132</t>
        </is>
      </c>
      <c r="H82" s="10" t="inlineStr">
        <is>
          <t>ya</t>
        </is>
      </c>
      <c r="I82" s="10" t="inlineStr">
        <is>
          <t>defense_primary</t>
        </is>
      </c>
      <c r="J82" s="10" t="inlineStr">
        <is>
          <t>Verifiable Manifest Enforcement</t>
        </is>
      </c>
      <c r="K82" s="10" t="inlineStr">
        <is>
          <t>integrity_provenance</t>
        </is>
      </c>
      <c r="L82" s="10" t="inlineStr">
        <is>
          <t>Penegakan keamanan level manifes pada pemanggilan tool MCP menggunakan tanda tangan digital, verifikasi runtime, pengecekan kesegaran, dan pencatatan log transparansi yang dapat diaudit.</t>
        </is>
      </c>
      <c r="M82" s="10" t="inlineStr">
        <is>
          <t>tidak</t>
        </is>
      </c>
      <c r="N82" s="10" t="inlineStr">
        <is>
          <t>gateway_proxy</t>
        </is>
      </c>
      <c r="O82" s="10" t="inlineStr">
        <is>
          <t>R2;R7;PRA</t>
        </is>
      </c>
      <c r="P82" s="10" t="inlineStr">
        <is>
          <t>A1;B1;D3</t>
        </is>
      </c>
      <c r="Q82" s="10" t="inlineStr">
        <is>
          <t>A1;B1;D3</t>
        </is>
      </c>
      <c r="R82" s="10" t="inlineStr">
        <is>
          <t>author_run</t>
        </is>
      </c>
      <c r="S82" s="10" t="n"/>
      <c r="T82" s="10" t="inlineStr">
        <is>
          <t>authors_own</t>
        </is>
      </c>
      <c r="U82" s="10" t="inlineStr">
        <is>
          <t>tidak</t>
        </is>
      </c>
      <c r="V82" s="10" t="n"/>
      <c r="W82" s="10" t="inlineStr">
        <is>
          <t>Sec. IV, Table 1-3, Fig. 3</t>
        </is>
      </c>
      <c r="X82" s="10" t="inlineStr">
        <is>
          <t>none</t>
        </is>
      </c>
      <c r="Y82" s="10" t="inlineStr">
        <is>
          <t>dilaporkan: latensi verifikasi dan overhead kriptografi (Sec. IV-A)</t>
        </is>
      </c>
      <c r="Z82" s="10" t="inlineStr">
        <is>
          <t>Kerangka penegakan tanda tangan digital dan log transparansi untuk manifes pemanggilan tool MCP.</t>
        </is>
      </c>
      <c r="AA82" s="11">
        <f>IF(I82="","",IF(OR(I82="attack",I82="survey_review",I82="benchmark_measurement",I82="position_other",I82="not_defense"),"n/a",IF(OR(X82="spec_normatif",X82="produksi_bukti_publik"),"L3",IF(ISNUMBER(SEARCH("independent",R82)),"L2",IF(R82="author_run","L1",IF(R82="none","L0",""))))))</f>
        <v/>
      </c>
      <c r="AB82" s="11">
        <f>IF(I82="","",IF(AND(K82="deterministic_policy",M82="ya"),"PERIKSA: deterministic_policy tetapi LLM/ML ada dalam keputusan. ","")&amp;IF(AND(U82="ya",V82=""),"PERIKSA: adaptif=ya wajib ada kutipan. ","")&amp;IF(AND(R82="none",U82&lt;&gt;"n/a_tanpa_evaluasi",U82&lt;&gt;""),"PERIKSA: tanpa evaluasi, adaptif harus n/a. ","")&amp;IF(AND(OR(R82="author_run",R82="author_run+independent",R82="independent_only"),Q82=""),"PERIKSA: isi kelas_dievaluasi. ","")&amp;IF(AND(OR(R82="author_run",R82="author_run+independent",R82="independent_only"),W82=""),"PERIKSA: isi lokasi_bukti. ","")&amp;IF(AND(H82="tidak",R82&lt;&gt;""),"PERIKSA: tanpa teks lengkap, kosongkan kolom evaluasi. ",""))</f>
        <v/>
      </c>
      <c r="AC82" t="inlineStr">
        <is>
          <t>include</t>
        </is>
      </c>
    </row>
    <row r="83" ht="381.75" customHeight="1" s="21">
      <c r="A83" s="8" t="inlineStr">
        <is>
          <t>sonu-2025-mcp-guardian-security-first-layer</t>
        </is>
      </c>
      <c r="B83" s="8" t="inlineStr">
        <is>
          <t>MCP Guardian: A Security-First Layer for Safeguarding MCP-Based AI System</t>
        </is>
      </c>
      <c r="C83" s="8" t="n">
        <v>2025</v>
      </c>
      <c r="D83" s="8" t="inlineStr">
        <is>
          <t>E2</t>
        </is>
      </c>
      <c r="E83" s="8" t="inlineStr">
        <is>
          <t>kandidat_cek_recall</t>
        </is>
      </c>
      <c r="F83" s="8" t="inlineStr">
        <is>
          <t>none</t>
        </is>
      </c>
      <c r="G83" s="9" t="inlineStr">
        <is>
          <t>https://arxiv.org/abs/2504.12757</t>
        </is>
      </c>
      <c r="H83" s="10" t="inlineStr">
        <is>
          <t>ya</t>
        </is>
      </c>
      <c r="I83" s="10" t="inlineStr">
        <is>
          <t>defense_primary</t>
        </is>
      </c>
      <c r="J83" s="10" t="inlineStr">
        <is>
          <t>MCP Guardian</t>
        </is>
      </c>
      <c r="K83" s="10" t="inlineStr">
        <is>
          <t>deterministic_policy</t>
        </is>
      </c>
      <c r="L83" s="10" t="inlineStr">
        <is>
          <t>Lapisan middleware perantara klien dan server MCP yang menerapkan autentikasi, pembatasan laju (rate limiting), logging audit, dan pemindaian WAF terhadap payload berbahaya.</t>
        </is>
      </c>
      <c r="M83" s="10" t="inlineStr">
        <is>
          <t>tidak</t>
        </is>
      </c>
      <c r="N83" s="10" t="inlineStr">
        <is>
          <t>gateway_proxy</t>
        </is>
      </c>
      <c r="O83" s="10" t="inlineStr">
        <is>
          <t>R1;R2;R4</t>
        </is>
      </c>
      <c r="P83" s="10" t="inlineStr">
        <is>
          <t>A2;C3;C5;OUT_OF_TAXONOMY:resource_abuse</t>
        </is>
      </c>
      <c r="Q83" s="10" t="inlineStr">
        <is>
          <t>A2;C3;C5;OUT_OF_TAXONOMY:resource_abuse</t>
        </is>
      </c>
      <c r="R83" s="10" t="inlineStr">
        <is>
          <t>author_run</t>
        </is>
      </c>
      <c r="S83" s="10" t="n"/>
      <c r="T83" s="10" t="inlineStr">
        <is>
          <t>authors_own</t>
        </is>
      </c>
      <c r="U83" s="10" t="inlineStr">
        <is>
          <t>tidak</t>
        </is>
      </c>
      <c r="V83" s="10" t="n"/>
      <c r="W83" s="10" t="inlineStr">
        <is>
          <t>Sec. 5, Table 1, hal. 7-9</t>
        </is>
      </c>
      <c r="X83" s="10" t="inlineStr">
        <is>
          <t>none</t>
        </is>
      </c>
      <c r="Y83" s="10" t="inlineStr">
        <is>
          <t>dilaporkan: latensi baseline vs dengan Guardian (Sec. 5)</t>
        </is>
      </c>
      <c r="Z83" s="10" t="inlineStr">
        <is>
          <t>MCP Guardian (defense_primary, L1). Middleware proksi dengan autentikasi (C3), WAF pemfilteran prompt &amp; command injection (A2;C5), serta rate-limiting terhadap high-frequency abuse (OUT_OF_TAXONOMY:resource_abuse, Sec. 4.1.1). Catatan deployment: prototipe internal/eksperimental (belum dirilis secara publik).</t>
        </is>
      </c>
      <c r="AA83" s="11">
        <f>IF(I83="","",IF(OR(I83="attack",I83="survey_review",I83="benchmark_measurement",I83="position_other",I83="not_defense"),"n/a",IF(OR(X83="spec_normatif",X83="produksi_bukti_publik"),"L3",IF(ISNUMBER(SEARCH("independent",R83)),"L2",IF(R83="author_run","L1",IF(R83="none","L0",""))))))</f>
        <v/>
      </c>
      <c r="AB83" s="11">
        <f>IF(I83="","",IF(AND(K83="deterministic_policy",M83="ya"),"PERIKSA: deterministic_policy tetapi LLM/ML ada dalam keputusan. ","")&amp;IF(AND(U83="ya",V83=""),"PERIKSA: adaptif=ya wajib ada kutipan. ","")&amp;IF(AND(R83="none",U83&lt;&gt;"n/a_tanpa_evaluasi",U83&lt;&gt;""),"PERIKSA: tanpa evaluasi, adaptif harus n/a. ","")&amp;IF(AND(OR(R83="author_run",R83="author_run+independent",R83="independent_only"),Q83=""),"PERIKSA: isi kelas_dievaluasi. ","")&amp;IF(AND(OR(R83="author_run",R83="author_run+independent",R83="independent_only"),W83=""),"PERIKSA: isi lokasi_bukti. ","")&amp;IF(AND(H83="tidak",R83&lt;&gt;""),"PERIKSA: tanpa teks lengkap, kosongkan kolom evaluasi. ",""))</f>
        <v/>
      </c>
      <c r="AC83" t="inlineStr">
        <is>
          <t>include</t>
        </is>
      </c>
    </row>
    <row r="84" ht="404.25" customHeight="1" s="21">
      <c r="A84" s="8" t="inlineStr">
        <is>
          <t>yutao-2026-description-code-inconsistency-real-world</t>
        </is>
      </c>
      <c r="B84" s="8" t="inlineStr">
        <is>
          <t>Description-Code Inconsistency in Real-world MCP Servers: Measurement, Detection, and Security Implications</t>
        </is>
      </c>
      <c r="C84" s="8" t="n">
        <v>2026</v>
      </c>
      <c r="D84" s="8" t="inlineStr">
        <is>
          <t>E2</t>
        </is>
      </c>
      <c r="E84" s="8" t="inlineStr">
        <is>
          <t>kandidat_cek_recall</t>
        </is>
      </c>
      <c r="F84" s="8" t="inlineStr">
        <is>
          <t>none</t>
        </is>
      </c>
      <c r="G84" s="9" t="inlineStr">
        <is>
          <t>https://arxiv.org/abs/2606.04769</t>
        </is>
      </c>
      <c r="H84" s="10" t="inlineStr">
        <is>
          <t>ya</t>
        </is>
      </c>
      <c r="I84" s="10" t="inlineStr">
        <is>
          <t>benchmark_measurement</t>
        </is>
      </c>
      <c r="J84" s="10" t="n"/>
      <c r="K84" s="10" t="n"/>
      <c r="L84" s="10" t="n"/>
      <c r="M84" s="10" t="n"/>
      <c r="N84" s="10" t="n"/>
      <c r="O84" s="10" t="n"/>
      <c r="P84" s="10" t="n"/>
      <c r="Q84" s="10" t="n"/>
      <c r="R84" s="10" t="n"/>
      <c r="S84" s="10" t="n"/>
      <c r="T84" s="10" t="n"/>
      <c r="U84" s="10" t="n"/>
      <c r="V84" s="10" t="n"/>
      <c r="W84" s="10" t="n"/>
      <c r="X84" s="10" t="n"/>
      <c r="Y84" s="10" t="n"/>
      <c r="Z84" s="10" t="inlineStr">
        <is>
          <t>Agent Recall: BUKAN_PERTAHANAN - Studi pengukuran empiris terhadap Description-Code Inconsistency (DCI) pada 19.200 pasangan deskripsi-kode dari 2.214 server MCP menggunakan DCIChecker; mengkaji prevalensi celah keamanan dan menyarankan mitigasi pada diskusi.</t>
        </is>
      </c>
      <c r="AA84" s="11">
        <f>IF(I84="","",IF(OR(I84="attack",I84="survey_review",I84="benchmark_measurement",I84="position_other",I84="not_defense"),"n/a",IF(OR(X84="spec_normatif",X84="produksi_bukti_publik"),"L3",IF(ISNUMBER(SEARCH("independent",R84)),"L2",IF(R84="author_run","L1",IF(R84="none","L0",""))))))</f>
        <v/>
      </c>
      <c r="AB84" s="11">
        <f>IF(I84="","",IF(AND(K84="deterministic_policy",M84="ya"),"PERIKSA: deterministic_policy tetapi LLM/ML ada dalam keputusan. ","")&amp;IF(AND(U84="ya",V84=""),"PERIKSA: adaptif=ya wajib ada kutipan. ","")&amp;IF(AND(R84="none",U84&lt;&gt;"n/a_tanpa_evaluasi",U84&lt;&gt;""),"PERIKSA: tanpa evaluasi, adaptif harus n/a. ","")&amp;IF(AND(OR(R84="author_run",R84="author_run+independent",R84="independent_only"),Q84=""),"PERIKSA: isi kelas_dievaluasi. ","")&amp;IF(AND(OR(R84="author_run",R84="author_run+independent",R84="independent_only"),W84=""),"PERIKSA: isi lokasi_bukti. ","")&amp;IF(AND(H84="tidak",R84&lt;&gt;""),"PERIKSA: tanpa teks lengkap, kosongkan kolom evaluasi. ",""))</f>
        <v/>
      </c>
      <c r="AC84" t="inlineStr">
        <is>
          <t>include</t>
        </is>
      </c>
    </row>
    <row r="85" ht="180" customHeight="1" s="21">
      <c r="A85" s="8" t="inlineStr">
        <is>
          <t>charoes-2026-ai-assisted-development-tools-immune</t>
        </is>
      </c>
      <c r="B85" s="8" t="inlineStr">
        <is>
          <t>Are AI-assisted Development Tools Immune to Prompt Injection?</t>
        </is>
      </c>
      <c r="C85" s="8" t="n">
        <v>2026</v>
      </c>
      <c r="D85" s="8" t="inlineStr">
        <is>
          <t>E2</t>
        </is>
      </c>
      <c r="E85" s="8" t="inlineStr">
        <is>
          <t>scan_cepat</t>
        </is>
      </c>
      <c r="F85" s="8" t="inlineStr">
        <is>
          <t>none</t>
        </is>
      </c>
      <c r="G85" s="9" t="inlineStr">
        <is>
          <t>https://arxiv.org/abs/2603.21642</t>
        </is>
      </c>
      <c r="H85" s="10" t="n"/>
      <c r="I85" s="10" t="inlineStr">
        <is>
          <t>attack</t>
        </is>
      </c>
      <c r="J85" s="10" t="n"/>
      <c r="K85" s="10" t="n"/>
      <c r="L85" s="10" t="n"/>
      <c r="M85" s="10" t="n"/>
      <c r="N85" s="10" t="n"/>
      <c r="O85" s="10" t="n"/>
      <c r="P85" s="10" t="n"/>
      <c r="Q85" s="10" t="n"/>
      <c r="R85" s="10" t="n"/>
      <c r="S85" s="10" t="n"/>
      <c r="T85" s="10" t="n"/>
      <c r="U85" s="10" t="n"/>
      <c r="V85" s="10" t="n"/>
      <c r="W85" s="10" t="n"/>
      <c r="X85" s="10" t="n"/>
      <c r="Y85" s="10" t="n"/>
      <c r="Z85" s="10" t="inlineStr">
        <is>
          <t>Studi empiris serangan prompt injection dan tool-poisoning pada 7 klien MCP tanpa mengimplementasikan mitigasi baru.</t>
        </is>
      </c>
      <c r="AA85" s="11">
        <f>IF(I85="","",IF(OR(I85="attack",I85="survey_review",I85="benchmark_measurement",I85="position_other",I85="not_defense"),"n/a",IF(OR(X85="spec_normatif",X85="produksi_bukti_publik"),"L3",IF(ISNUMBER(SEARCH("independent",R85)),"L2",IF(R85="author_run","L1",IF(R85="none","L0",""))))))</f>
        <v/>
      </c>
      <c r="AB85" s="11">
        <f>IF(I85="","",IF(AND(K85="deterministic_policy",M85="ya"),"PERIKSA: deterministic_policy tetapi LLM/ML ada dalam keputusan. ","")&amp;IF(AND(U85="ya",V85=""),"PERIKSA: adaptif=ya wajib ada kutipan. ","")&amp;IF(AND(R85="none",U85&lt;&gt;"n/a_tanpa_evaluasi",U85&lt;&gt;""),"PERIKSA: tanpa evaluasi, adaptif harus n/a. ","")&amp;IF(AND(OR(R85="author_run",R85="author_run+independent",R85="independent_only"),Q85=""),"PERIKSA: isi kelas_dievaluasi. ","")&amp;IF(AND(OR(R85="author_run",R85="author_run+independent",R85="independent_only"),W85=""),"PERIKSA: isi lokasi_bukti. ","")&amp;IF(AND(H85="tidak",R85&lt;&gt;""),"PERIKSA: tanpa teks lengkap, kosongkan kolom evaluasi. ",""))</f>
        <v/>
      </c>
      <c r="AC85" t="inlineStr">
        <is>
          <t>include</t>
        </is>
      </c>
    </row>
    <row r="86" ht="314.25" customHeight="1" s="21">
      <c r="A86" s="8" t="inlineStr">
        <is>
          <t>charoes-2026-auditing-mcp-servers-privileged-tool</t>
        </is>
      </c>
      <c r="B86" s="8" t="inlineStr">
        <is>
          <t>Auditing MCP Servers for Over-Privileged Tool Capabilities</t>
        </is>
      </c>
      <c r="C86" s="8" t="n">
        <v>2026</v>
      </c>
      <c r="D86" s="8" t="inlineStr">
        <is>
          <t>E2</t>
        </is>
      </c>
      <c r="E86" s="8" t="inlineStr">
        <is>
          <t>scan_cepat</t>
        </is>
      </c>
      <c r="F86" s="8" t="inlineStr">
        <is>
          <t>none</t>
        </is>
      </c>
      <c r="G86" s="9" t="inlineStr">
        <is>
          <t>https://arxiv.org/abs/2603.21641</t>
        </is>
      </c>
      <c r="H86" s="10" t="inlineStr">
        <is>
          <t>ya</t>
        </is>
      </c>
      <c r="I86" s="10" t="inlineStr">
        <is>
          <t>defense_primary</t>
        </is>
      </c>
      <c r="J86" s="10" t="inlineStr">
        <is>
          <t>mcp-sec-audit</t>
        </is>
      </c>
      <c r="K86" s="10" t="inlineStr">
        <is>
          <t>content_inspection_static</t>
        </is>
      </c>
      <c r="L86" s="10" t="inlineStr">
        <is>
          <t>Perkakas audit keamanan mcp-sec-audit untuk mendeteksi kapabilitas berlebih (over-privileged) dan kerentanan eksekusi perintah serta file I/O pada server MCP.</t>
        </is>
      </c>
      <c r="M86" s="10" t="inlineStr">
        <is>
          <t>tidak</t>
        </is>
      </c>
      <c r="N86" s="10" t="inlineStr">
        <is>
          <t>offline_analysis</t>
        </is>
      </c>
      <c r="O86" s="10" t="inlineStr">
        <is>
          <t>R5</t>
        </is>
      </c>
      <c r="P86" s="10" t="inlineStr">
        <is>
          <t>C5</t>
        </is>
      </c>
      <c r="Q86" s="10" t="inlineStr">
        <is>
          <t>C5</t>
        </is>
      </c>
      <c r="R86" s="10" t="inlineStr">
        <is>
          <t>author_run</t>
        </is>
      </c>
      <c r="S86" s="10" t="n"/>
      <c r="T86" s="10" t="inlineStr">
        <is>
          <t>mixed</t>
        </is>
      </c>
      <c r="U86" s="10" t="inlineStr">
        <is>
          <t>tidak</t>
        </is>
      </c>
      <c r="V86" s="10" t="n"/>
      <c r="W86" s="10" t="inlineStr">
        <is>
          <t>Sec. 4, Table 1-2, hal. 4-6</t>
        </is>
      </c>
      <c r="X86" s="10" t="inlineStr">
        <is>
          <t>prototype_open_source</t>
        </is>
      </c>
      <c r="Y86" s="10" t="inlineStr">
        <is>
          <t>not_reported</t>
        </is>
      </c>
      <c r="Z86" s="10" t="inlineStr">
        <is>
          <t>Toolkit mcp-sec-audit untuk menguji kapabilitas berlebih pada server MCP. Repositori/artefak: https://github.com/nyit-vancouver/mcp-sec-audit.</t>
        </is>
      </c>
      <c r="AA86" s="11">
        <f>IF(I86="","",IF(OR(I86="attack",I86="survey_review",I86="benchmark_measurement",I86="position_other",I86="not_defense"),"n/a",IF(OR(X86="spec_normatif",X86="produksi_bukti_publik"),"L3",IF(ISNUMBER(SEARCH("independent",R86)),"L2",IF(R86="author_run","L1",IF(R86="none","L0",""))))))</f>
        <v/>
      </c>
      <c r="AB86" s="11">
        <f>IF(I86="","",IF(AND(K86="deterministic_policy",M86="ya"),"PERIKSA: deterministic_policy tetapi LLM/ML ada dalam keputusan. ","")&amp;IF(AND(U86="ya",V86=""),"PERIKSA: adaptif=ya wajib ada kutipan. ","")&amp;IF(AND(R86="none",U86&lt;&gt;"n/a_tanpa_evaluasi",U86&lt;&gt;""),"PERIKSA: tanpa evaluasi, adaptif harus n/a. ","")&amp;IF(AND(OR(R86="author_run",R86="author_run+independent",R86="independent_only"),Q86=""),"PERIKSA: isi kelas_dievaluasi. ","")&amp;IF(AND(OR(R86="author_run",R86="author_run+independent",R86="independent_only"),W86=""),"PERIKSA: isi lokasi_bukti. ","")&amp;IF(AND(H86="tidak",R86&lt;&gt;""),"PERIKSA: tanpa teks lengkap, kosongkan kolom evaluasi. ",""))</f>
        <v/>
      </c>
      <c r="AC86" t="inlineStr">
        <is>
          <t>include</t>
        </is>
      </c>
    </row>
    <row r="87" ht="180" customHeight="1" s="21">
      <c r="A87" s="8" t="inlineStr">
        <is>
          <t>dongsen-2025-mcp-security-bench-msb-benchmarking</t>
        </is>
      </c>
      <c r="B87" s="8" t="inlineStr">
        <is>
          <t>MCP Security Bench (MSB): Benchmarking Attacks Against Model Context Protocol in LLM Agents</t>
        </is>
      </c>
      <c r="C87" s="8" t="n">
        <v>2025</v>
      </c>
      <c r="D87" s="8" t="inlineStr">
        <is>
          <t>E2</t>
        </is>
      </c>
      <c r="E87" s="8" t="inlineStr">
        <is>
          <t>scan_cepat</t>
        </is>
      </c>
      <c r="F87" s="8" t="inlineStr">
        <is>
          <t>none</t>
        </is>
      </c>
      <c r="G87" s="9" t="inlineStr">
        <is>
          <t>https://arxiv.org/abs/2510.15994</t>
        </is>
      </c>
      <c r="H87" s="10" t="n"/>
      <c r="I87" s="10" t="inlineStr">
        <is>
          <t>benchmark_measurement</t>
        </is>
      </c>
      <c r="J87" s="10" t="n"/>
      <c r="K87" s="10" t="n"/>
      <c r="L87" s="10" t="n"/>
      <c r="M87" s="10" t="n"/>
      <c r="N87" s="10" t="n"/>
      <c r="O87" s="10" t="n"/>
      <c r="P87" s="10" t="n"/>
      <c r="Q87" s="10" t="n"/>
      <c r="R87" s="10" t="n"/>
      <c r="S87" s="10" t="n"/>
      <c r="T87" s="10" t="n"/>
      <c r="U87" s="10" t="n"/>
      <c r="V87" s="10" t="n"/>
      <c r="W87" s="10" t="n"/>
      <c r="X87" s="10" t="n"/>
      <c r="Y87" s="10" t="n"/>
      <c r="Z87" s="10" t="inlineStr">
        <is>
          <t>Benchmark evaluasi keamanan end-to-end (MSB) dan dataset untuk mengukur kerentanan agen terhadap serangan MCP.</t>
        </is>
      </c>
      <c r="AA87" s="11">
        <f>IF(I87="","",IF(OR(I87="attack",I87="survey_review",I87="benchmark_measurement",I87="position_other",I87="not_defense"),"n/a",IF(OR(X87="spec_normatif",X87="produksi_bukti_publik"),"L3",IF(ISNUMBER(SEARCH("independent",R87)),"L2",IF(R87="author_run","L1",IF(R87="none","L0",""))))))</f>
        <v/>
      </c>
      <c r="AB87" s="11">
        <f>IF(I87="","",IF(AND(K87="deterministic_policy",M87="ya"),"PERIKSA: deterministic_policy tetapi LLM/ML ada dalam keputusan. ","")&amp;IF(AND(U87="ya",V87=""),"PERIKSA: adaptif=ya wajib ada kutipan. ","")&amp;IF(AND(R87="none",U87&lt;&gt;"n/a_tanpa_evaluasi",U87&lt;&gt;""),"PERIKSA: tanpa evaluasi, adaptif harus n/a. ","")&amp;IF(AND(OR(R87="author_run",R87="author_run+independent",R87="independent_only"),Q87=""),"PERIKSA: isi kelas_dievaluasi. ","")&amp;IF(AND(OR(R87="author_run",R87="author_run+independent",R87="independent_only"),W87=""),"PERIKSA: isi lokasi_bukti. ","")&amp;IF(AND(H87="tidak",R87&lt;&gt;""),"PERIKSA: tanpa teks lengkap, kosongkan kolom evaluasi. ",""))</f>
        <v/>
      </c>
      <c r="AC87" t="inlineStr">
        <is>
          <t>include</t>
        </is>
      </c>
    </row>
    <row r="88" ht="213.75" customHeight="1" s="21">
      <c r="A88" s="8" t="inlineStr">
        <is>
          <t>gautam-2026-registry-descriptions-go-stale-unevenly</t>
        </is>
      </c>
      <c r="B88" s="8" t="inlineStr">
        <is>
          <t>Registry Descriptions Go Stale Unevenly: An 89-Day Measurement of Model Context Protocol Drift, and Why Drift-Ranked Re-Auditing Under-Covers It</t>
        </is>
      </c>
      <c r="C88" s="8" t="n">
        <v>2026</v>
      </c>
      <c r="D88" s="8" t="inlineStr">
        <is>
          <t>E2</t>
        </is>
      </c>
      <c r="E88" s="8" t="inlineStr">
        <is>
          <t>scan_cepat</t>
        </is>
      </c>
      <c r="F88" s="8" t="inlineStr">
        <is>
          <t>none</t>
        </is>
      </c>
      <c r="G88" s="9" t="inlineStr">
        <is>
          <t>https://arxiv.org/abs/2608.00997</t>
        </is>
      </c>
      <c r="H88" s="10" t="n"/>
      <c r="I88" s="10" t="inlineStr">
        <is>
          <t>benchmark_measurement</t>
        </is>
      </c>
      <c r="J88" s="10" t="n"/>
      <c r="K88" s="10" t="n"/>
      <c r="L88" s="10" t="n"/>
      <c r="M88" s="10" t="n"/>
      <c r="N88" s="10" t="n"/>
      <c r="O88" s="10" t="n"/>
      <c r="P88" s="10" t="n"/>
      <c r="Q88" s="10" t="n"/>
      <c r="R88" s="10" t="n"/>
      <c r="S88" s="10" t="n"/>
      <c r="T88" s="10" t="n"/>
      <c r="U88" s="10" t="n"/>
      <c r="V88" s="10" t="n"/>
      <c r="W88" s="10" t="n"/>
      <c r="X88" s="10" t="n"/>
      <c r="Y88" s="10" t="n"/>
      <c r="Z88" s="10" t="inlineStr">
        <is>
          <t>Studi pengukuran empiris dan analisis temporal terhadap fenomena drift deskripsi server pada registri MCP.</t>
        </is>
      </c>
      <c r="AA88" s="11">
        <f>IF(I88="","",IF(OR(I88="attack",I88="survey_review",I88="benchmark_measurement",I88="position_other",I88="not_defense"),"n/a",IF(OR(X88="spec_normatif",X88="produksi_bukti_publik"),"L3",IF(ISNUMBER(SEARCH("independent",R88)),"L2",IF(R88="author_run","L1",IF(R88="none","L0",""))))))</f>
        <v/>
      </c>
      <c r="AB88" s="11">
        <f>IF(I88="","",IF(AND(K88="deterministic_policy",M88="ya"),"PERIKSA: deterministic_policy tetapi LLM/ML ada dalam keputusan. ","")&amp;IF(AND(U88="ya",V88=""),"PERIKSA: adaptif=ya wajib ada kutipan. ","")&amp;IF(AND(R88="none",U88&lt;&gt;"n/a_tanpa_evaluasi",U88&lt;&gt;""),"PERIKSA: tanpa evaluasi, adaptif harus n/a. ","")&amp;IF(AND(OR(R88="author_run",R88="author_run+independent",R88="independent_only"),Q88=""),"PERIKSA: isi kelas_dievaluasi. ","")&amp;IF(AND(OR(R88="author_run",R88="author_run+independent",R88="independent_only"),W88=""),"PERIKSA: isi lokasi_bukti. ","")&amp;IF(AND(H88="tidak",R88&lt;&gt;""),"PERIKSA: tanpa teks lengkap, kosongkan kolom evaluasi. ",""))</f>
        <v/>
      </c>
      <c r="AC88" t="inlineStr">
        <is>
          <t>include</t>
        </is>
      </c>
    </row>
    <row r="89" ht="236.25" customHeight="1" s="21">
      <c r="A89" s="8" t="inlineStr">
        <is>
          <t>gowthaman-2026-measuring-defenders-layer-aware-framework</t>
        </is>
      </c>
      <c r="B89" s="8" t="inlineStr">
        <is>
          <t>Measuring the Defenders: A Layer-Aware, Framework-Mapped Benchmark for Model Context Protocol Security Proxies</t>
        </is>
      </c>
      <c r="C89" s="8" t="n">
        <v>2026</v>
      </c>
      <c r="D89" s="8" t="inlineStr">
        <is>
          <t>E2</t>
        </is>
      </c>
      <c r="E89" s="8" t="inlineStr">
        <is>
          <t>scan_cepat</t>
        </is>
      </c>
      <c r="F89" s="8" t="inlineStr">
        <is>
          <t>none</t>
        </is>
      </c>
      <c r="G89" s="9" t="inlineStr">
        <is>
          <t>https://doi.org/10.6084/m9.figshare.32978657</t>
        </is>
      </c>
      <c r="H89" s="10" t="n"/>
      <c r="I89" s="10" t="inlineStr">
        <is>
          <t>benchmark_measurement</t>
        </is>
      </c>
      <c r="J89" s="10" t="n"/>
      <c r="K89" s="10" t="n"/>
      <c r="L89" s="10" t="n"/>
      <c r="M89" s="10" t="n"/>
      <c r="N89" s="10" t="n"/>
      <c r="O89" s="10" t="n"/>
      <c r="P89" s="10" t="n"/>
      <c r="Q89" s="10" t="n"/>
      <c r="R89" s="10" t="n"/>
      <c r="S89" s="10" t="n"/>
      <c r="T89" s="10" t="n"/>
      <c r="U89" s="10" t="n"/>
      <c r="V89" s="10" t="n"/>
      <c r="W89" s="10" t="n"/>
      <c r="X89" s="10" t="n"/>
      <c r="Y89" s="10" t="n"/>
      <c r="Z89" s="10" t="inlineStr">
        <is>
          <t>Tolok ukur (benchmark) untuk menguji efektivitas proxy pertahanan MCP terhadap fixture serangan (Pedoman: benchmark pertahanan = benchmark_measurement).</t>
        </is>
      </c>
      <c r="AA89" s="11">
        <f>IF(I89="","",IF(OR(I89="attack",I89="survey_review",I89="benchmark_measurement",I89="position_other",I89="not_defense"),"n/a",IF(OR(X89="spec_normatif",X89="produksi_bukti_publik"),"L3",IF(ISNUMBER(SEARCH("independent",R89)),"L2",IF(R89="author_run","L1",IF(R89="none","L0",""))))))</f>
        <v/>
      </c>
      <c r="AB89" s="11">
        <f>IF(I89="","",IF(AND(K89="deterministic_policy",M89="ya"),"PERIKSA: deterministic_policy tetapi LLM/ML ada dalam keputusan. ","")&amp;IF(AND(U89="ya",V89=""),"PERIKSA: adaptif=ya wajib ada kutipan. ","")&amp;IF(AND(R89="none",U89&lt;&gt;"n/a_tanpa_evaluasi",U89&lt;&gt;""),"PERIKSA: tanpa evaluasi, adaptif harus n/a. ","")&amp;IF(AND(OR(R89="author_run",R89="author_run+independent",R89="independent_only"),Q89=""),"PERIKSA: isi kelas_dievaluasi. ","")&amp;IF(AND(OR(R89="author_run",R89="author_run+independent",R89="independent_only"),W89=""),"PERIKSA: isi lokasi_bukti. ","")&amp;IF(AND(H89="tidak",R89&lt;&gt;""),"PERIKSA: tanpa teks lengkap, kosongkan kolom evaluasi. ",""))</f>
        <v/>
      </c>
      <c r="AC89" t="inlineStr">
        <is>
          <t>include</t>
        </is>
      </c>
    </row>
    <row r="90" ht="180" customHeight="1" s="21">
      <c r="A90" s="8" t="inlineStr">
        <is>
          <t>hechuan-2025-measurement-study-model-context-protocol</t>
        </is>
      </c>
      <c r="B90" s="8" t="inlineStr">
        <is>
          <t>A Measurement Study of Model Context Protocol Ecosystem</t>
        </is>
      </c>
      <c r="C90" s="8" t="n">
        <v>2025</v>
      </c>
      <c r="D90" s="8" t="inlineStr">
        <is>
          <t>E2</t>
        </is>
      </c>
      <c r="E90" s="8" t="inlineStr">
        <is>
          <t>scan_cepat</t>
        </is>
      </c>
      <c r="F90" s="8" t="inlineStr">
        <is>
          <t>none</t>
        </is>
      </c>
      <c r="G90" s="9" t="inlineStr">
        <is>
          <t>https://arxiv.org/abs/2509.25292</t>
        </is>
      </c>
      <c r="H90" s="10" t="n"/>
      <c r="I90" s="10" t="inlineStr">
        <is>
          <t>benchmark_measurement</t>
        </is>
      </c>
      <c r="J90" s="10" t="n"/>
      <c r="K90" s="10" t="n"/>
      <c r="L90" s="10" t="n"/>
      <c r="M90" s="10" t="n"/>
      <c r="N90" s="10" t="n"/>
      <c r="O90" s="10" t="n"/>
      <c r="P90" s="10" t="n"/>
      <c r="Q90" s="10" t="n"/>
      <c r="R90" s="10" t="n"/>
      <c r="S90" s="10" t="n"/>
      <c r="T90" s="10" t="n"/>
      <c r="U90" s="10" t="n"/>
      <c r="V90" s="10" t="n"/>
      <c r="W90" s="10" t="n"/>
      <c r="X90" s="10" t="n"/>
      <c r="Y90" s="10" t="n"/>
      <c r="Z90" s="10" t="inlineStr">
        <is>
          <t>Studi pengukuran empiris skala besar terhadap ekosistem registri server dan klien MCP menggunakan MCPCrawler.</t>
        </is>
      </c>
      <c r="AA90" s="11">
        <f>IF(I90="","",IF(OR(I90="attack",I90="survey_review",I90="benchmark_measurement",I90="position_other",I90="not_defense"),"n/a",IF(OR(X90="spec_normatif",X90="produksi_bukti_publik"),"L3",IF(ISNUMBER(SEARCH("independent",R90)),"L2",IF(R90="author_run","L1",IF(R90="none","L0",""))))))</f>
        <v/>
      </c>
      <c r="AB90" s="11">
        <f>IF(I90="","",IF(AND(K90="deterministic_policy",M90="ya"),"PERIKSA: deterministic_policy tetapi LLM/ML ada dalam keputusan. ","")&amp;IF(AND(U90="ya",V90=""),"PERIKSA: adaptif=ya wajib ada kutipan. ","")&amp;IF(AND(R90="none",U90&lt;&gt;"n/a_tanpa_evaluasi",U90&lt;&gt;""),"PERIKSA: tanpa evaluasi, adaptif harus n/a. ","")&amp;IF(AND(OR(R90="author_run",R90="author_run+independent",R90="independent_only"),Q90=""),"PERIKSA: isi kelas_dievaluasi. ","")&amp;IF(AND(OR(R90="author_run",R90="author_run+independent",R90="independent_only"),W90=""),"PERIKSA: isi lokasi_bukti. ","")&amp;IF(AND(H90="tidak",R90&lt;&gt;""),"PERIKSA: tanpa teks lengkap, kosongkan kolom evaluasi. ",""))</f>
        <v/>
      </c>
      <c r="AC90" t="inlineStr">
        <is>
          <t>include</t>
        </is>
      </c>
    </row>
    <row r="91" ht="180" customHeight="1" s="21">
      <c r="A91" s="8" t="inlineStr">
        <is>
          <t>huanxi-2026-mcpevol-bench-benchmarking-llm-agent</t>
        </is>
      </c>
      <c r="B91" s="8" t="inlineStr">
        <is>
          <t>MCPEvol-Bench: Benchmarking LLM Agent Performance Across Dynamic Evolutions of MCP Servers</t>
        </is>
      </c>
      <c r="C91" s="8" t="n">
        <v>2026</v>
      </c>
      <c r="D91" s="8" t="inlineStr">
        <is>
          <t>E2</t>
        </is>
      </c>
      <c r="E91" s="8" t="inlineStr">
        <is>
          <t>scan_cepat</t>
        </is>
      </c>
      <c r="F91" s="8" t="inlineStr">
        <is>
          <t>none</t>
        </is>
      </c>
      <c r="G91" s="9" t="inlineStr">
        <is>
          <t>https://arxiv.org/abs/2607.14642</t>
        </is>
      </c>
      <c r="H91" s="10" t="n"/>
      <c r="I91" s="10" t="inlineStr">
        <is>
          <t>benchmark_measurement</t>
        </is>
      </c>
      <c r="J91" s="10" t="n"/>
      <c r="K91" s="10" t="n"/>
      <c r="L91" s="10" t="n"/>
      <c r="M91" s="10" t="n"/>
      <c r="N91" s="10" t="n"/>
      <c r="O91" s="10" t="n"/>
      <c r="P91" s="10" t="n"/>
      <c r="Q91" s="10" t="n"/>
      <c r="R91" s="10" t="n"/>
      <c r="S91" s="10" t="n"/>
      <c r="T91" s="10" t="n"/>
      <c r="U91" s="10" t="n"/>
      <c r="V91" s="10" t="n"/>
      <c r="W91" s="10" t="n"/>
      <c r="X91" s="10" t="n"/>
      <c r="Y91" s="10" t="n"/>
      <c r="Z91" s="10" t="inlineStr">
        <is>
          <t>Tolok ukur (benchmark) untuk mengevaluasi kinerja dan adaptabilitas agen LLM terhadap evolusi antarmuka server MCP.</t>
        </is>
      </c>
      <c r="AA91" s="11">
        <f>IF(I91="","",IF(OR(I91="attack",I91="survey_review",I91="benchmark_measurement",I91="position_other",I91="not_defense"),"n/a",IF(OR(X91="spec_normatif",X91="produksi_bukti_publik"),"L3",IF(ISNUMBER(SEARCH("independent",R91)),"L2",IF(R91="author_run","L1",IF(R91="none","L0",""))))))</f>
        <v/>
      </c>
      <c r="AB91" s="11">
        <f>IF(I91="","",IF(AND(K91="deterministic_policy",M91="ya"),"PERIKSA: deterministic_policy tetapi LLM/ML ada dalam keputusan. ","")&amp;IF(AND(U91="ya",V91=""),"PERIKSA: adaptif=ya wajib ada kutipan. ","")&amp;IF(AND(R91="none",U91&lt;&gt;"n/a_tanpa_evaluasi",U91&lt;&gt;""),"PERIKSA: tanpa evaluasi, adaptif harus n/a. ","")&amp;IF(AND(OR(R91="author_run",R91="author_run+independent",R91="independent_only"),Q91=""),"PERIKSA: isi kelas_dievaluasi. ","")&amp;IF(AND(OR(R91="author_run",R91="author_run+independent",R91="independent_only"),W91=""),"PERIKSA: isi lokasi_bukti. ","")&amp;IF(AND(H91="tidak",R91&lt;&gt;""),"PERIKSA: tanpa teks lengkap, kosongkan kolom evaluasi. ",""))</f>
        <v/>
      </c>
      <c r="AC91" t="inlineStr">
        <is>
          <t>include</t>
        </is>
      </c>
    </row>
    <row r="92" ht="168.75" customHeight="1" s="21">
      <c r="A92" s="8" t="inlineStr">
        <is>
          <t>jiayi-2025-llm-infer-risk-information-mcp</t>
        </is>
      </c>
      <c r="B92" s="8" t="inlineStr">
        <is>
          <t>Can LLM Infer Risk Information From MCP Server System Logs?</t>
        </is>
      </c>
      <c r="C92" s="8" t="n">
        <v>2025</v>
      </c>
      <c r="D92" s="8" t="inlineStr">
        <is>
          <t>E2</t>
        </is>
      </c>
      <c r="E92" s="8" t="inlineStr">
        <is>
          <t>scan_cepat</t>
        </is>
      </c>
      <c r="F92" s="8" t="inlineStr">
        <is>
          <t>none</t>
        </is>
      </c>
      <c r="G92" s="9" t="inlineStr">
        <is>
          <t>https://arxiv.org/abs/2511.05867</t>
        </is>
      </c>
      <c r="H92" s="10" t="n"/>
      <c r="I92" s="10" t="inlineStr">
        <is>
          <t>benchmark_measurement</t>
        </is>
      </c>
      <c r="J92" s="10" t="n"/>
      <c r="K92" s="10" t="n"/>
      <c r="L92" s="10" t="n"/>
      <c r="M92" s="10" t="n"/>
      <c r="N92" s="10" t="n"/>
      <c r="O92" s="10" t="n"/>
      <c r="P92" s="10" t="n"/>
      <c r="Q92" s="10" t="n"/>
      <c r="R92" s="10" t="n"/>
      <c r="S92" s="10" t="n"/>
      <c r="T92" s="10" t="n"/>
      <c r="U92" s="10" t="n"/>
      <c r="V92" s="10" t="n"/>
      <c r="W92" s="10" t="n"/>
      <c r="X92" s="10" t="n"/>
      <c r="Y92" s="10" t="n"/>
      <c r="Z92" s="10" t="inlineStr">
        <is>
          <t>Tolok ukur sintetis (MCP-RiskCue) untuk mengukur kemampuan LLM mendeteksi anomali pada log sistem server MCP.</t>
        </is>
      </c>
      <c r="AA92" s="11">
        <f>IF(I92="","",IF(OR(I92="attack",I92="survey_review",I92="benchmark_measurement",I92="position_other",I92="not_defense"),"n/a",IF(OR(X92="spec_normatif",X92="produksi_bukti_publik"),"L3",IF(ISNUMBER(SEARCH("independent",R92)),"L2",IF(R92="author_run","L1",IF(R92="none","L0",""))))))</f>
        <v/>
      </c>
      <c r="AB92" s="11">
        <f>IF(I92="","",IF(AND(K92="deterministic_policy",M92="ya"),"PERIKSA: deterministic_policy tetapi LLM/ML ada dalam keputusan. ","")&amp;IF(AND(U92="ya",V92=""),"PERIKSA: adaptif=ya wajib ada kutipan. ","")&amp;IF(AND(R92="none",U92&lt;&gt;"n/a_tanpa_evaluasi",U92&lt;&gt;""),"PERIKSA: tanpa evaluasi, adaptif harus n/a. ","")&amp;IF(AND(OR(R92="author_run",R92="author_run+independent",R92="independent_only"),Q92=""),"PERIKSA: isi kelas_dievaluasi. ","")&amp;IF(AND(OR(R92="author_run",R92="author_run+independent",R92="independent_only"),W92=""),"PERIKSA: isi lokasi_bukti. ","")&amp;IF(AND(H92="tidak",R92&lt;&gt;""),"PERIKSA: tanpa teks lengkap, kosongkan kolom evaluasi. ",""))</f>
        <v/>
      </c>
      <c r="AC92" t="inlineStr">
        <is>
          <t>include</t>
        </is>
      </c>
    </row>
    <row r="93" ht="202.5" customHeight="1" s="21">
      <c r="A93" s="8" t="inlineStr">
        <is>
          <t>jinwoo-2026-beyond-tool-poisoning-attack-surfaces</t>
        </is>
      </c>
      <c r="B93" s="8" t="inlineStr">
        <is>
          <t>Beyond Tool Poisoning: Attack Surfaces of Malicious Remote MCP Servers Across LLM Platforms</t>
        </is>
      </c>
      <c r="C93" s="8" t="n">
        <v>2026</v>
      </c>
      <c r="D93" s="8" t="inlineStr">
        <is>
          <t>E1</t>
        </is>
      </c>
      <c r="E93" s="8" t="inlineStr">
        <is>
          <t>scan_cepat</t>
        </is>
      </c>
      <c r="F93" s="8" t="inlineStr">
        <is>
          <t>none</t>
        </is>
      </c>
      <c r="G93" s="9" t="inlineStr">
        <is>
          <t>https://doi.org/10.3390/electronics15102214</t>
        </is>
      </c>
      <c r="H93" s="10" t="n"/>
      <c r="I93" s="10" t="inlineStr">
        <is>
          <t>attack</t>
        </is>
      </c>
      <c r="J93" s="10" t="n"/>
      <c r="K93" s="10" t="n"/>
      <c r="L93" s="10" t="n"/>
      <c r="M93" s="10" t="n"/>
      <c r="N93" s="10" t="n"/>
      <c r="O93" s="10" t="n"/>
      <c r="P93" s="10" t="n"/>
      <c r="Q93" s="10" t="n"/>
      <c r="R93" s="10" t="n"/>
      <c r="S93" s="10" t="n"/>
      <c r="T93" s="10" t="n"/>
      <c r="U93" s="10" t="n"/>
      <c r="V93" s="10" t="n"/>
      <c r="W93" s="10" t="n"/>
      <c r="X93" s="10" t="n"/>
      <c r="Y93" s="10" t="n"/>
      <c r="Z93" s="10" t="inlineStr">
        <is>
          <t>Analisis dan pembuktian konsep serangan server MCP remote jahat (LLM-passive &amp; LLM-active) tanpa implementasi mitigasi.</t>
        </is>
      </c>
      <c r="AA93" s="11">
        <f>IF(I93="","",IF(OR(I93="attack",I93="survey_review",I93="benchmark_measurement",I93="position_other",I93="not_defense"),"n/a",IF(OR(X93="spec_normatif",X93="produksi_bukti_publik"),"L3",IF(ISNUMBER(SEARCH("independent",R93)),"L2",IF(R93="author_run","L1",IF(R93="none","L0",""))))))</f>
        <v/>
      </c>
      <c r="AB93" s="11">
        <f>IF(I93="","",IF(AND(K93="deterministic_policy",M93="ya"),"PERIKSA: deterministic_policy tetapi LLM/ML ada dalam keputusan. ","")&amp;IF(AND(U93="ya",V93=""),"PERIKSA: adaptif=ya wajib ada kutipan. ","")&amp;IF(AND(R93="none",U93&lt;&gt;"n/a_tanpa_evaluasi",U93&lt;&gt;""),"PERIKSA: tanpa evaluasi, adaptif harus n/a. ","")&amp;IF(AND(OR(R93="author_run",R93="author_run+independent",R93="independent_only"),Q93=""),"PERIKSA: isi kelas_dievaluasi. ","")&amp;IF(AND(OR(R93="author_run",R93="author_run+independent",R93="independent_only"),W93=""),"PERIKSA: isi lokasi_bukti. ","")&amp;IF(AND(H93="tidak",R93&lt;&gt;""),"PERIKSA: tanpa teks lengkap, kosongkan kolom evaluasi. ",""))</f>
        <v/>
      </c>
      <c r="AC93" t="inlineStr">
        <is>
          <t>include</t>
        </is>
      </c>
    </row>
    <row r="94" ht="180" customHeight="1" s="21">
      <c r="A94" s="8" t="inlineStr">
        <is>
          <t>joshua-2026-taxonomy-runtime-faults-model-context</t>
        </is>
      </c>
      <c r="B94" s="8" t="inlineStr">
        <is>
          <t>A Taxonomy of Runtime Faults in Model Context Protocol Servers</t>
        </is>
      </c>
      <c r="C94" s="8" t="n">
        <v>2026</v>
      </c>
      <c r="D94" s="8" t="inlineStr">
        <is>
          <t>E2</t>
        </is>
      </c>
      <c r="E94" s="8" t="inlineStr">
        <is>
          <t>scan_cepat</t>
        </is>
      </c>
      <c r="F94" s="8" t="inlineStr">
        <is>
          <t>none</t>
        </is>
      </c>
      <c r="G94" s="9" t="inlineStr">
        <is>
          <t>https://arxiv.org/abs/2606.05339</t>
        </is>
      </c>
      <c r="H94" s="10" t="n"/>
      <c r="I94" s="10" t="inlineStr">
        <is>
          <t>survey_review</t>
        </is>
      </c>
      <c r="J94" s="10" t="n"/>
      <c r="K94" s="10" t="n"/>
      <c r="L94" s="10" t="n"/>
      <c r="M94" s="10" t="n"/>
      <c r="N94" s="10" t="n"/>
      <c r="O94" s="10" t="n"/>
      <c r="P94" s="10" t="n"/>
      <c r="Q94" s="10" t="n"/>
      <c r="R94" s="10" t="n"/>
      <c r="S94" s="10" t="n"/>
      <c r="T94" s="10" t="n"/>
      <c r="U94" s="10" t="n"/>
      <c r="V94" s="10" t="n"/>
      <c r="W94" s="10" t="n"/>
      <c r="X94" s="10" t="n"/>
      <c r="Y94" s="10" t="n"/>
      <c r="Z94" s="10" t="inlineStr">
        <is>
          <t>Studi taksonomi empiris mengenai kesalahan runtime (runtime faults) pada server MCP berbasis analisis repositori dan survei.</t>
        </is>
      </c>
      <c r="AA94" s="11">
        <f>IF(I94="","",IF(OR(I94="attack",I94="survey_review",I94="benchmark_measurement",I94="position_other",I94="not_defense"),"n/a",IF(OR(X94="spec_normatif",X94="produksi_bukti_publik"),"L3",IF(ISNUMBER(SEARCH("independent",R94)),"L2",IF(R94="author_run","L1",IF(R94="none","L0",""))))))</f>
        <v/>
      </c>
      <c r="AB94" s="11">
        <f>IF(I94="","",IF(AND(K94="deterministic_policy",M94="ya"),"PERIKSA: deterministic_policy tetapi LLM/ML ada dalam keputusan. ","")&amp;IF(AND(U94="ya",V94=""),"PERIKSA: adaptif=ya wajib ada kutipan. ","")&amp;IF(AND(R94="none",U94&lt;&gt;"n/a_tanpa_evaluasi",U94&lt;&gt;""),"PERIKSA: tanpa evaluasi, adaptif harus n/a. ","")&amp;IF(AND(OR(R94="author_run",R94="author_run+independent",R94="independent_only"),Q94=""),"PERIKSA: isi kelas_dievaluasi. ","")&amp;IF(AND(OR(R94="author_run",R94="author_run+independent",R94="independent_only"),W94=""),"PERIKSA: isi lokasi_bukti. ","")&amp;IF(AND(H94="tidak",R94&lt;&gt;""),"PERIKSA: tanpa teks lengkap, kosongkan kolom evaluasi. ",""))</f>
        <v/>
      </c>
      <c r="AC94" t="inlineStr">
        <is>
          <t>include</t>
        </is>
      </c>
    </row>
    <row r="95" ht="191.25" customHeight="1" s="21">
      <c r="A95" s="8" t="inlineStr">
        <is>
          <t>kaiyu-2026-beyond-max-tokens-stealthy-resource</t>
        </is>
      </c>
      <c r="B95" s="8" t="inlineStr">
        <is>
          <t>Beyond Max Tokens: Stealthy Resource Amplification via Tool Calling Chains in LLM Agents</t>
        </is>
      </c>
      <c r="C95" s="8" t="n">
        <v>2026</v>
      </c>
      <c r="D95" s="8" t="inlineStr">
        <is>
          <t>E2</t>
        </is>
      </c>
      <c r="E95" s="8" t="inlineStr">
        <is>
          <t>scan_cepat</t>
        </is>
      </c>
      <c r="F95" s="8" t="inlineStr">
        <is>
          <t>none</t>
        </is>
      </c>
      <c r="G95" s="9" t="inlineStr">
        <is>
          <t>https://arxiv.org/abs/2601.10955</t>
        </is>
      </c>
      <c r="H95" s="10" t="n"/>
      <c r="I95" s="10" t="inlineStr">
        <is>
          <t>attack</t>
        </is>
      </c>
      <c r="J95" s="10" t="n"/>
      <c r="K95" s="10" t="n"/>
      <c r="L95" s="10" t="n"/>
      <c r="M95" s="10" t="n"/>
      <c r="N95" s="10" t="n"/>
      <c r="O95" s="10" t="n"/>
      <c r="P95" s="10" t="n"/>
      <c r="Q95" s="10" t="n"/>
      <c r="R95" s="10" t="n"/>
      <c r="S95" s="10" t="n"/>
      <c r="T95" s="10" t="n"/>
      <c r="U95" s="10" t="n"/>
      <c r="V95" s="10" t="n"/>
      <c r="W95" s="10" t="n"/>
      <c r="X95" s="10" t="n"/>
      <c r="Y95" s="10" t="n"/>
      <c r="Z95" s="10" t="inlineStr">
        <is>
          <t>Perancangan teknik serangan DoS ekonomi melalui manipulasi rantai pemanggilan tool MCP tanpa mitigasi yang dievaluasi.</t>
        </is>
      </c>
      <c r="AA95" s="11">
        <f>IF(I95="","",IF(OR(I95="attack",I95="survey_review",I95="benchmark_measurement",I95="position_other",I95="not_defense"),"n/a",IF(OR(X95="spec_normatif",X95="produksi_bukti_publik"),"L3",IF(ISNUMBER(SEARCH("independent",R95)),"L2",IF(R95="author_run","L1",IF(R95="none","L0",""))))))</f>
        <v/>
      </c>
      <c r="AB95" s="11">
        <f>IF(I95="","",IF(AND(K95="deterministic_policy",M95="ya"),"PERIKSA: deterministic_policy tetapi LLM/ML ada dalam keputusan. ","")&amp;IF(AND(U95="ya",V95=""),"PERIKSA: adaptif=ya wajib ada kutipan. ","")&amp;IF(AND(R95="none",U95&lt;&gt;"n/a_tanpa_evaluasi",U95&lt;&gt;""),"PERIKSA: tanpa evaluasi, adaptif harus n/a. ","")&amp;IF(AND(OR(R95="author_run",R95="author_run+independent",R95="independent_only"),Q95=""),"PERIKSA: isi kelas_dievaluasi. ","")&amp;IF(AND(OR(R95="author_run",R95="author_run+independent",R95="independent_only"),W95=""),"PERIKSA: isi lokasi_bukti. ","")&amp;IF(AND(H95="tidak",R95&lt;&gt;""),"PERIKSA: tanpa teks lengkap, kosongkan kolom evaluasi. ",""))</f>
        <v/>
      </c>
      <c r="AC95" t="inlineStr">
        <is>
          <t>include</t>
        </is>
      </c>
    </row>
    <row r="96" ht="135.75" customHeight="1" s="21">
      <c r="A96" s="8" t="inlineStr">
        <is>
          <t>laizhen-2026-a2m-trace-optimized-agent-hijacking</t>
        </is>
      </c>
      <c r="B96" s="8" t="inlineStr">
        <is>
          <t>A2M: Trace-Optimized Agent Hijacking in the MCP Ecosystem</t>
        </is>
      </c>
      <c r="C96" s="8" t="n">
        <v>2026</v>
      </c>
      <c r="D96" s="8" t="inlineStr">
        <is>
          <t>E2</t>
        </is>
      </c>
      <c r="E96" s="8" t="inlineStr">
        <is>
          <t>scan_cepat</t>
        </is>
      </c>
      <c r="F96" s="8" t="inlineStr">
        <is>
          <t>none</t>
        </is>
      </c>
      <c r="G96" s="9" t="inlineStr">
        <is>
          <t>https://arxiv.org/abs/2609.26761</t>
        </is>
      </c>
      <c r="H96" s="10" t="n"/>
      <c r="I96" s="10" t="inlineStr">
        <is>
          <t>attack</t>
        </is>
      </c>
      <c r="J96" s="10" t="n"/>
      <c r="K96" s="10" t="n"/>
      <c r="L96" s="10" t="n"/>
      <c r="M96" s="10" t="n"/>
      <c r="N96" s="10" t="n"/>
      <c r="O96" s="10" t="n"/>
      <c r="P96" s="10" t="n"/>
      <c r="Q96" s="10" t="n"/>
      <c r="R96" s="10" t="n"/>
      <c r="S96" s="10" t="n"/>
      <c r="T96" s="10" t="n"/>
      <c r="U96" s="10" t="n"/>
      <c r="V96" s="10" t="n"/>
      <c r="W96" s="10" t="n"/>
      <c r="X96" s="10" t="n"/>
      <c r="Y96" s="10" t="n"/>
      <c r="Z96" s="10" t="inlineStr">
        <is>
          <t>Kerangka serangan pembajakan agen MCP dua tahap (A2M) berbasis optimasi metadata dan jejak eksekusi.</t>
        </is>
      </c>
      <c r="AA96" s="11">
        <f>IF(I96="","",IF(OR(I96="attack",I96="survey_review",I96="benchmark_measurement",I96="position_other",I96="not_defense"),"n/a",IF(OR(X96="spec_normatif",X96="produksi_bukti_publik"),"L3",IF(ISNUMBER(SEARCH("independent",R96)),"L2",IF(R96="author_run","L1",IF(R96="none","L0",""))))))</f>
        <v/>
      </c>
      <c r="AB96" s="11">
        <f>IF(I96="","",IF(AND(K96="deterministic_policy",M96="ya"),"PERIKSA: deterministic_policy tetapi LLM/ML ada dalam keputusan. ","")&amp;IF(AND(U96="ya",V96=""),"PERIKSA: adaptif=ya wajib ada kutipan. ","")&amp;IF(AND(R96="none",U96&lt;&gt;"n/a_tanpa_evaluasi",U96&lt;&gt;""),"PERIKSA: tanpa evaluasi, adaptif harus n/a. ","")&amp;IF(AND(OR(R96="author_run",R96="author_run+independent",R96="independent_only"),Q96=""),"PERIKSA: isi kelas_dievaluasi. ","")&amp;IF(AND(OR(R96="author_run",R96="author_run+independent",R96="independent_only"),W96=""),"PERIKSA: isi lokasi_bukti. ","")&amp;IF(AND(H96="tidak",R96&lt;&gt;""),"PERIKSA: tanpa teks lengkap, kosongkan kolom evaluasi. ",""))</f>
        <v/>
      </c>
      <c r="AC96" t="inlineStr">
        <is>
          <t>include</t>
        </is>
      </c>
    </row>
    <row r="97" ht="157.5" customHeight="1" s="21">
      <c r="A97" s="8" t="inlineStr">
        <is>
          <t>laxmipriya-2026-closed-world-resolution-tool-hallucination</t>
        </is>
      </c>
      <c r="B97" s="8" t="inlineStr">
        <is>
          <t>Closed-World Resolution Against Tool Hallucination in LLM Agents</t>
        </is>
      </c>
      <c r="C97" s="8" t="n">
        <v>2026</v>
      </c>
      <c r="D97" s="8" t="inlineStr">
        <is>
          <t>E2</t>
        </is>
      </c>
      <c r="E97" s="8" t="inlineStr">
        <is>
          <t>scan_cepat</t>
        </is>
      </c>
      <c r="F97" s="8" t="inlineStr">
        <is>
          <t>none</t>
        </is>
      </c>
      <c r="G97" s="9" t="inlineStr">
        <is>
          <t>https://arxiv.org/abs/2609.19425</t>
        </is>
      </c>
      <c r="H97" s="10" t="n"/>
      <c r="I97" s="10" t="inlineStr">
        <is>
          <t>benchmark_measurement</t>
        </is>
      </c>
      <c r="J97" s="10" t="n"/>
      <c r="K97" s="10" t="n"/>
      <c r="L97" s="10" t="n"/>
      <c r="M97" s="10" t="n"/>
      <c r="N97" s="10" t="n"/>
      <c r="O97" s="10" t="n"/>
      <c r="P97" s="10" t="n"/>
      <c r="Q97" s="10" t="n"/>
      <c r="R97" s="10" t="n"/>
      <c r="S97" s="10" t="n"/>
      <c r="T97" s="10" t="n"/>
      <c r="U97" s="10" t="n"/>
      <c r="V97" s="10" t="n"/>
      <c r="W97" s="10" t="n"/>
      <c r="X97" s="10" t="n"/>
      <c r="Y97" s="10" t="n"/>
      <c r="Z97" s="10" t="inlineStr">
        <is>
          <t>Studi pengukuran dan benchmark halusinasi tool (HTB) dengan Resolver Rung sebagai batas referensi.</t>
        </is>
      </c>
      <c r="AA97" s="11">
        <f>IF(I97="","",IF(OR(I97="attack",I97="survey_review",I97="benchmark_measurement",I97="position_other",I97="not_defense"),"n/a",IF(OR(X97="spec_normatif",X97="produksi_bukti_publik"),"L3",IF(ISNUMBER(SEARCH("independent",R97)),"L2",IF(R97="author_run","L1",IF(R97="none","L0",""))))))</f>
        <v/>
      </c>
      <c r="AB97" s="11">
        <f>IF(I97="","",IF(AND(K97="deterministic_policy",M97="ya"),"PERIKSA: deterministic_policy tetapi LLM/ML ada dalam keputusan. ","")&amp;IF(AND(U97="ya",V97=""),"PERIKSA: adaptif=ya wajib ada kutipan. ","")&amp;IF(AND(R97="none",U97&lt;&gt;"n/a_tanpa_evaluasi",U97&lt;&gt;""),"PERIKSA: tanpa evaluasi, adaptif harus n/a. ","")&amp;IF(AND(OR(R97="author_run",R97="author_run+independent",R97="independent_only"),Q97=""),"PERIKSA: isi kelas_dievaluasi. ","")&amp;IF(AND(OR(R97="author_run",R97="author_run+independent",R97="independent_only"),W97=""),"PERIKSA: isi lokasi_bukti. ","")&amp;IF(AND(H97="tidak",R97&lt;&gt;""),"PERIKSA: tanpa teks lengkap, kosongkan kolom evaluasi. ",""))</f>
        <v/>
      </c>
      <c r="AC97" t="inlineStr">
        <is>
          <t>include</t>
        </is>
      </c>
    </row>
    <row r="98" ht="147" customHeight="1" s="21">
      <c r="A98" s="8" t="inlineStr">
        <is>
          <t>liwei-2026-sharelock-stealthy-multi-tool-threshold</t>
        </is>
      </c>
      <c r="B98" s="8" t="inlineStr">
        <is>
          <t>ShareLock: A Stealthy Multi-Tool Threshold Poisoning Attack Against MCP</t>
        </is>
      </c>
      <c r="C98" s="8" t="n">
        <v>2026</v>
      </c>
      <c r="D98" s="8" t="inlineStr">
        <is>
          <t>E2</t>
        </is>
      </c>
      <c r="E98" s="8" t="inlineStr">
        <is>
          <t>scan_cepat</t>
        </is>
      </c>
      <c r="F98" s="8" t="inlineStr">
        <is>
          <t>none</t>
        </is>
      </c>
      <c r="G98" s="9" t="inlineStr">
        <is>
          <t>https://arxiv.org/abs/2606.27027</t>
        </is>
      </c>
      <c r="H98" s="10" t="n"/>
      <c r="I98" s="10" t="inlineStr">
        <is>
          <t>attack</t>
        </is>
      </c>
      <c r="J98" s="10" t="n"/>
      <c r="K98" s="10" t="n"/>
      <c r="L98" s="10" t="n"/>
      <c r="M98" s="10" t="n"/>
      <c r="N98" s="10" t="n"/>
      <c r="O98" s="10" t="n"/>
      <c r="P98" s="10" t="n"/>
      <c r="Q98" s="10" t="n"/>
      <c r="R98" s="10" t="n"/>
      <c r="S98" s="10" t="n"/>
      <c r="T98" s="10" t="n"/>
      <c r="U98" s="10" t="n"/>
      <c r="V98" s="10" t="n"/>
      <c r="W98" s="10" t="n"/>
      <c r="X98" s="10" t="n"/>
      <c r="Y98" s="10" t="n"/>
      <c r="Z98" s="10" t="inlineStr">
        <is>
          <t>Perancangan teknik serangan tool-poisoning multi-tool berbasis skema Shamir (ShareLock) pada MCP.</t>
        </is>
      </c>
      <c r="AA98" s="11">
        <f>IF(I98="","",IF(OR(I98="attack",I98="survey_review",I98="benchmark_measurement",I98="position_other",I98="not_defense"),"n/a",IF(OR(X98="spec_normatif",X98="produksi_bukti_publik"),"L3",IF(ISNUMBER(SEARCH("independent",R98)),"L2",IF(R98="author_run","L1",IF(R98="none","L0",""))))))</f>
        <v/>
      </c>
      <c r="AB98" s="11">
        <f>IF(I98="","",IF(AND(K98="deterministic_policy",M98="ya"),"PERIKSA: deterministic_policy tetapi LLM/ML ada dalam keputusan. ","")&amp;IF(AND(U98="ya",V98=""),"PERIKSA: adaptif=ya wajib ada kutipan. ","")&amp;IF(AND(R98="none",U98&lt;&gt;"n/a_tanpa_evaluasi",U98&lt;&gt;""),"PERIKSA: tanpa evaluasi, adaptif harus n/a. ","")&amp;IF(AND(OR(R98="author_run",R98="author_run+independent",R98="independent_only"),Q98=""),"PERIKSA: isi kelas_dievaluasi. ","")&amp;IF(AND(OR(R98="author_run",R98="author_run+independent",R98="independent_only"),W98=""),"PERIKSA: isi lokasi_bukti. ","")&amp;IF(AND(H98="tidak",R98&lt;&gt;""),"PERIKSA: tanpa teks lengkap, kosongkan kolom evaluasi. ",""))</f>
        <v/>
      </c>
      <c r="AC98" t="inlineStr">
        <is>
          <t>include</t>
        </is>
      </c>
    </row>
    <row r="99" ht="202.5" customHeight="1" s="21">
      <c r="A99" s="8" t="inlineStr">
        <is>
          <t>m-2026-trust-inversion-its-exploitation-threat</t>
        </is>
      </c>
      <c r="B99" s="8" t="inlineStr">
        <is>
          <t>Trust inversion and its exploitation: A threat model of the Model Context Protocol for agentic AI</t>
        </is>
      </c>
      <c r="C99" s="8" t="n">
        <v>2026</v>
      </c>
      <c r="D99" s="8" t="inlineStr">
        <is>
          <t>E1</t>
        </is>
      </c>
      <c r="E99" s="8" t="inlineStr">
        <is>
          <t>scan_cepat</t>
        </is>
      </c>
      <c r="F99" s="8" t="inlineStr">
        <is>
          <t>none</t>
        </is>
      </c>
      <c r="G99" s="9" t="inlineStr">
        <is>
          <t>https://doi.org/10.46481/jnsps.2026.3748</t>
        </is>
      </c>
      <c r="H99" s="10" t="n"/>
      <c r="I99" s="10" t="inlineStr">
        <is>
          <t>survey_review</t>
        </is>
      </c>
      <c r="J99" s="10" t="n"/>
      <c r="K99" s="10" t="n"/>
      <c r="L99" s="10" t="n"/>
      <c r="M99" s="10" t="n"/>
      <c r="N99" s="10" t="n"/>
      <c r="O99" s="10" t="n"/>
      <c r="P99" s="10" t="n"/>
      <c r="Q99" s="10" t="n"/>
      <c r="R99" s="10" t="n"/>
      <c r="S99" s="10" t="n"/>
      <c r="T99" s="10" t="n"/>
      <c r="U99" s="10" t="n"/>
      <c r="V99" s="10" t="n"/>
      <c r="W99" s="10" t="n"/>
      <c r="X99" s="10" t="n"/>
      <c r="Y99" s="10" t="n"/>
      <c r="Z99" s="10" t="inlineStr">
        <is>
          <t>Pemodelan ancaman arsitektural (threat model) trust inversion pada MCP dengan taksonomi STRIDE dan usulan kontrol konseptual.</t>
        </is>
      </c>
      <c r="AA99" s="11">
        <f>IF(I99="","",IF(OR(I99="attack",I99="survey_review",I99="benchmark_measurement",I99="position_other",I99="not_defense"),"n/a",IF(OR(X99="spec_normatif",X99="produksi_bukti_publik"),"L3",IF(ISNUMBER(SEARCH("independent",R99)),"L2",IF(R99="author_run","L1",IF(R99="none","L0",""))))))</f>
        <v/>
      </c>
      <c r="AB99" s="11">
        <f>IF(I99="","",IF(AND(K99="deterministic_policy",M99="ya"),"PERIKSA: deterministic_policy tetapi LLM/ML ada dalam keputusan. ","")&amp;IF(AND(U99="ya",V99=""),"PERIKSA: adaptif=ya wajib ada kutipan. ","")&amp;IF(AND(R99="none",U99&lt;&gt;"n/a_tanpa_evaluasi",U99&lt;&gt;""),"PERIKSA: tanpa evaluasi, adaptif harus n/a. ","")&amp;IF(AND(OR(R99="author_run",R99="author_run+independent",R99="independent_only"),Q99=""),"PERIKSA: isi kelas_dievaluasi. ","")&amp;IF(AND(OR(R99="author_run",R99="author_run+independent",R99="independent_only"),W99=""),"PERIKSA: isi lokasi_bukti. ","")&amp;IF(AND(H99="tidak",R99&lt;&gt;""),"PERIKSA: tanpa teks lengkap, kosongkan kolom evaluasi. ",""))</f>
        <v/>
      </c>
      <c r="AC99" t="inlineStr">
        <is>
          <t>include</t>
        </is>
      </c>
    </row>
    <row r="100" ht="292.5" customHeight="1" s="21">
      <c r="A100" s="8" t="inlineStr">
        <is>
          <t>manideep-2026-enterprise-identity-integration-ai-assisted</t>
        </is>
      </c>
      <c r="B100" s="8" t="inlineStr">
        <is>
          <t>Enterprise Identity Integration for AI-Assisted Developer Services: Architecture, Implementation, and Case Study</t>
        </is>
      </c>
      <c r="C100" s="8" t="n">
        <v>2026</v>
      </c>
      <c r="D100" s="8" t="inlineStr">
        <is>
          <t>E2</t>
        </is>
      </c>
      <c r="E100" s="8" t="inlineStr">
        <is>
          <t>scan_cepat</t>
        </is>
      </c>
      <c r="F100" s="8" t="inlineStr">
        <is>
          <t>none</t>
        </is>
      </c>
      <c r="G100" s="9" t="inlineStr">
        <is>
          <t>https://arxiv.org/abs/2601.02698</t>
        </is>
      </c>
      <c r="H100" s="10" t="inlineStr">
        <is>
          <t>ya</t>
        </is>
      </c>
      <c r="I100" s="10" t="inlineStr">
        <is>
          <t>proposal_only</t>
        </is>
      </c>
      <c r="J100" s="10" t="inlineStr">
        <is>
          <t>Enterprise MCP OIDC/OAuth Architecture</t>
        </is>
      </c>
      <c r="K100" s="10" t="inlineStr">
        <is>
          <t>deterministic_policy</t>
        </is>
      </c>
      <c r="L100" s="10" t="inlineStr">
        <is>
          <t>Arsitektur integrasi identitas enterprise berbasis OAuth 2.0/OIDC (PKCE dan JWKS) untuk memetakan otorisasi least-privilege pada pemanggilan tool MCP di IDE.</t>
        </is>
      </c>
      <c r="M100" s="10" t="inlineStr">
        <is>
          <t>tidak</t>
        </is>
      </c>
      <c r="N100" s="10" t="inlineStr">
        <is>
          <t>gateway_proxy</t>
        </is>
      </c>
      <c r="O100" s="10" t="inlineStr">
        <is>
          <t>R1;R3;R4</t>
        </is>
      </c>
      <c r="P100" s="10" t="inlineStr">
        <is>
          <t>C1;C3</t>
        </is>
      </c>
      <c r="Q100" s="10" t="n"/>
      <c r="R100" s="10" t="inlineStr">
        <is>
          <t>none</t>
        </is>
      </c>
      <c r="S100" s="10" t="n"/>
      <c r="T100" s="10" t="inlineStr">
        <is>
          <t>none</t>
        </is>
      </c>
      <c r="U100" s="10" t="inlineStr">
        <is>
          <t>n/a_tanpa_evaluasi</t>
        </is>
      </c>
      <c r="V100" s="10" t="n"/>
      <c r="W100" s="10" t="inlineStr">
        <is>
          <t>Sec. 5, hal. 8-10</t>
        </is>
      </c>
      <c r="X100" s="10" t="inlineStr">
        <is>
          <t>none</t>
        </is>
      </c>
      <c r="Y100" s="10" t="inlineStr">
        <is>
          <t>dilaporkan: latensi validasi token JWKS 25-35 ms (Sec. 5.3)</t>
        </is>
      </c>
      <c r="Z100" s="10" t="inlineStr">
        <is>
          <t>Pola arsitektur integrasi OAuth 2.0/OIDC enterprise untuk server MCP dengan studi kasus implementasi VS Code dan Keycloak tanpa evaluasi dataset serangan empiris (L0). Catatan deployment: prototipe internal/eksperimental (belum dirilis secara publik).</t>
        </is>
      </c>
      <c r="AA100" s="11">
        <f>IF(I100="","",IF(OR(I100="attack",I100="survey_review",I100="benchmark_measurement",I100="position_other",I100="not_defense"),"n/a",IF(OR(X100="spec_normatif",X100="produksi_bukti_publik"),"L3",IF(ISNUMBER(SEARCH("independent",R100)),"L2",IF(R100="author_run","L1",IF(R100="none","L0",""))))))</f>
        <v/>
      </c>
      <c r="AB100" s="11">
        <f>IF(I100="","",IF(AND(K100="deterministic_policy",M100="ya"),"PERIKSA: deterministic_policy tetapi LLM/ML ada dalam keputusan. ","")&amp;IF(AND(U100="ya",V100=""),"PERIKSA: adaptif=ya wajib ada kutipan. ","")&amp;IF(AND(R100="none",U100&lt;&gt;"n/a_tanpa_evaluasi",U100&lt;&gt;""),"PERIKSA: tanpa evaluasi, adaptif harus n/a. ","")&amp;IF(AND(OR(R100="author_run",R100="author_run+independent",R100="independent_only"),Q100=""),"PERIKSA: isi kelas_dievaluasi. ","")&amp;IF(AND(OR(R100="author_run",R100="author_run+independent",R100="independent_only"),W100=""),"PERIKSA: isi lokasi_bukti. ","")&amp;IF(AND(H100="tidak",R100&lt;&gt;""),"PERIKSA: tanpa teks lengkap, kosongkan kolom evaluasi. ",""))</f>
        <v/>
      </c>
      <c r="AC100" t="inlineStr">
        <is>
          <t>include</t>
        </is>
      </c>
    </row>
    <row r="101" ht="191.25" customHeight="1" s="21">
      <c r="A101" s="8" t="inlineStr">
        <is>
          <t>mina-2026-real-faults-model-context-protocol</t>
        </is>
      </c>
      <c r="B101" s="8" t="inlineStr">
        <is>
          <t>Real Faults in Model Context Protocol (MCP) Software: a Comprehensive Taxonomy</t>
        </is>
      </c>
      <c r="C101" s="8" t="n">
        <v>2026</v>
      </c>
      <c r="D101" s="8" t="inlineStr">
        <is>
          <t>E2</t>
        </is>
      </c>
      <c r="E101" s="8" t="inlineStr">
        <is>
          <t>scan_cepat</t>
        </is>
      </c>
      <c r="F101" s="8" t="inlineStr">
        <is>
          <t>none</t>
        </is>
      </c>
      <c r="G101" s="9" t="inlineStr">
        <is>
          <t>https://arxiv.org/abs/2603.05637</t>
        </is>
      </c>
      <c r="H101" s="10" t="n"/>
      <c r="I101" s="10" t="inlineStr">
        <is>
          <t>survey_review</t>
        </is>
      </c>
      <c r="J101" s="10" t="n"/>
      <c r="K101" s="10" t="n"/>
      <c r="L101" s="10" t="n"/>
      <c r="M101" s="10" t="n"/>
      <c r="N101" s="10" t="n"/>
      <c r="O101" s="10" t="n"/>
      <c r="P101" s="10" t="n"/>
      <c r="Q101" s="10" t="n"/>
      <c r="R101" s="10" t="n"/>
      <c r="S101" s="10" t="n"/>
      <c r="T101" s="10" t="n"/>
      <c r="U101" s="10" t="n"/>
      <c r="V101" s="10" t="n"/>
      <c r="W101" s="10" t="n"/>
      <c r="X101" s="10" t="n"/>
      <c r="Y101" s="10" t="n"/>
      <c r="Z101" s="10" t="inlineStr">
        <is>
          <t>Taksonomi empiris mengenai kategori kegagalan (faults) pada perangkat lunak server MCP yang divalidasi melalui survei praktisi.</t>
        </is>
      </c>
      <c r="AA101" s="11">
        <f>IF(I101="","",IF(OR(I101="attack",I101="survey_review",I101="benchmark_measurement",I101="position_other",I101="not_defense"),"n/a",IF(OR(X101="spec_normatif",X101="produksi_bukti_publik"),"L3",IF(ISNUMBER(SEARCH("independent",R101)),"L2",IF(R101="author_run","L1",IF(R101="none","L0",""))))))</f>
        <v/>
      </c>
      <c r="AB101" s="11">
        <f>IF(I101="","",IF(AND(K101="deterministic_policy",M101="ya"),"PERIKSA: deterministic_policy tetapi LLM/ML ada dalam keputusan. ","")&amp;IF(AND(U101="ya",V101=""),"PERIKSA: adaptif=ya wajib ada kutipan. ","")&amp;IF(AND(R101="none",U101&lt;&gt;"n/a_tanpa_evaluasi",U101&lt;&gt;""),"PERIKSA: tanpa evaluasi, adaptif harus n/a. ","")&amp;IF(AND(OR(R101="author_run",R101="author_run+independent",R101="independent_only"),Q101=""),"PERIKSA: isi kelas_dievaluasi. ","")&amp;IF(AND(OR(R101="author_run",R101="author_run+independent",R101="independent_only"),W101=""),"PERIKSA: isi lokasi_bukti. ","")&amp;IF(AND(H101="tidak",R101&lt;&gt;""),"PERIKSA: tanpa teks lengkap, kosongkan kolom evaluasi. ",""))</f>
        <v/>
      </c>
      <c r="AC101" t="inlineStr">
        <is>
          <t>include</t>
        </is>
      </c>
    </row>
    <row r="102" ht="202.5" customHeight="1" s="21">
      <c r="A102" s="8" t="inlineStr">
        <is>
          <t>mohammad-2026-formal-security-framework-model-context</t>
        </is>
      </c>
      <c r="B102" s="8" t="inlineStr">
        <is>
          <t>A Formal Security Framework for Model Context Protocol-Based Tool Access inAgentic AI Systems</t>
        </is>
      </c>
      <c r="C102" s="8" t="n">
        <v>2026</v>
      </c>
      <c r="D102" s="8" t="inlineStr">
        <is>
          <t>E2</t>
        </is>
      </c>
      <c r="E102" s="8" t="inlineStr">
        <is>
          <t>scan_cepat</t>
        </is>
      </c>
      <c r="F102" s="8" t="inlineStr">
        <is>
          <t>none</t>
        </is>
      </c>
      <c r="G102" s="9" t="inlineStr">
        <is>
          <t>https://doi.org/10.2139/ssrn.6891368</t>
        </is>
      </c>
      <c r="H102" s="10" t="inlineStr">
        <is>
          <t>ya</t>
        </is>
      </c>
      <c r="I102" s="10" t="inlineStr">
        <is>
          <t>defense_primary</t>
        </is>
      </c>
      <c r="J102" s="10" t="inlineStr">
        <is>
          <t>FSM-MCP</t>
        </is>
      </c>
      <c r="K102" s="10" t="inlineStr">
        <is>
          <t>deterministic_policy</t>
        </is>
      </c>
      <c r="L102" s="10" t="inlineStr">
        <is>
          <t>FSM-MCP memodelkan interaksi klien-server MCP sebagai mesin keadaan hingga dengan empat mekanisme penegakan: signed manifests, capability-scoped tokens, context sanitization, dan message authentication.</t>
        </is>
      </c>
      <c r="M102" s="10" t="inlineStr">
        <is>
          <t>tidak</t>
        </is>
      </c>
      <c r="N102" s="10" t="inlineStr">
        <is>
          <t>gateway_proxy</t>
        </is>
      </c>
      <c r="O102" s="10" t="inlineStr">
        <is>
          <t>R1;R2;R3;R4;R7</t>
        </is>
      </c>
      <c r="P102" s="10" t="inlineStr">
        <is>
          <t>A1;A2;C1;C3;D3</t>
        </is>
      </c>
      <c r="Q102" s="10" t="inlineStr">
        <is>
          <t>A2;C1;C3</t>
        </is>
      </c>
      <c r="R102" s="10" t="inlineStr">
        <is>
          <t>author_run</t>
        </is>
      </c>
      <c r="S102" s="10" t="n"/>
      <c r="T102" s="10" t="inlineStr">
        <is>
          <t>authors_own</t>
        </is>
      </c>
      <c r="U102" s="10" t="inlineStr">
        <is>
          <t>tidak</t>
        </is>
      </c>
      <c r="V102" s="10" t="n"/>
      <c r="W102" s="10" t="inlineStr">
        <is>
          <t>Sec. 5, simulasi 3.000 jejak</t>
        </is>
      </c>
      <c r="X102" s="10" t="inlineStr">
        <is>
          <t>none</t>
        </is>
      </c>
      <c r="Y102" s="10" t="inlineStr">
        <is>
          <t>not_reported</t>
        </is>
      </c>
      <c r="Z102" s="10" t="inlineStr">
        <is>
          <t>Kerangka formal FSM-MCP dengan 4 mekanisme penegakan yang dievaluasi penulis melalui 3.000 jejak simulasi. Penulis menyatakan ketahanan adaptif belum dievaluasi.</t>
        </is>
      </c>
      <c r="AA102" s="11">
        <f>IF(I102="","",IF(OR(I102="attack",I102="survey_review",I102="benchmark_measurement",I102="position_other",I102="not_defense"),"n/a",IF(OR(X102="spec_normatif",X102="produksi_bukti_publik"),"L3",IF(ISNUMBER(SEARCH("independent",R102)),"L2",IF(R102="author_run","L1",IF(R102="none","L0",""))))))</f>
        <v/>
      </c>
      <c r="AB102" s="11">
        <f>IF(I102="","",IF(AND(K102="deterministic_policy",M102="ya"),"PERIKSA: deterministic_policy tetapi LLM/ML ada dalam keputusan. ","")&amp;IF(AND(U102="ya",V102=""),"PERIKSA: adaptif=ya wajib ada kutipan. ","")&amp;IF(AND(R102="none",U102&lt;&gt;"n/a_tanpa_evaluasi",U102&lt;&gt;""),"PERIKSA: tanpa evaluasi, adaptif harus n/a. ","")&amp;IF(AND(OR(R102="author_run",R102="author_run+independent",R102="independent_only"),Q102=""),"PERIKSA: isi kelas_dievaluasi. ","")&amp;IF(AND(OR(R102="author_run",R102="author_run+independent",R102="independent_only"),W102=""),"PERIKSA: isi lokasi_bukti. ","")&amp;IF(AND(H102="tidak",R102&lt;&gt;""),"PERIKSA: tanpa teks lengkap, kosongkan kolom evaluasi. ",""))</f>
        <v/>
      </c>
      <c r="AC102" t="inlineStr">
        <is>
          <t>include</t>
        </is>
      </c>
    </row>
    <row r="103" ht="270" customHeight="1" s="21">
      <c r="A103" s="8" t="inlineStr">
        <is>
          <t>mohammadreza-2026-unicode-tag-block-concealment-tool</t>
        </is>
      </c>
      <c r="B103" s="8" t="inlineStr">
        <is>
          <t>Unicode TAG-Block Concealment of Tool-Metadata Payloads in the Model Context Protocol: An Approval-View Fidelity Gap Across Three Independent Server Implementations</t>
        </is>
      </c>
      <c r="C103" s="8" t="n">
        <v>2026</v>
      </c>
      <c r="D103" s="8" t="inlineStr">
        <is>
          <t>E2</t>
        </is>
      </c>
      <c r="E103" s="8" t="inlineStr">
        <is>
          <t>scan_cepat</t>
        </is>
      </c>
      <c r="F103" s="8" t="inlineStr">
        <is>
          <t>none</t>
        </is>
      </c>
      <c r="G103" s="9" t="inlineStr">
        <is>
          <t>https://arxiv.org/abs/2607.05744</t>
        </is>
      </c>
      <c r="H103" s="10" t="n"/>
      <c r="I103" s="10" t="inlineStr">
        <is>
          <t>attack</t>
        </is>
      </c>
      <c r="J103" s="10" t="n"/>
      <c r="K103" s="10" t="n"/>
      <c r="L103" s="10" t="n"/>
      <c r="M103" s="10" t="n"/>
      <c r="N103" s="10" t="n"/>
      <c r="O103" s="10" t="n"/>
      <c r="P103" s="10" t="n"/>
      <c r="Q103" s="10" t="n"/>
      <c r="R103" s="10" t="n"/>
      <c r="S103" s="10" t="n"/>
      <c r="T103" s="10" t="n"/>
      <c r="U103" s="10" t="n"/>
      <c r="V103" s="10" t="n"/>
      <c r="W103" s="10" t="n"/>
      <c r="X103" s="10" t="n"/>
      <c r="Y103" s="10" t="n"/>
      <c r="Z103" s="10" t="inlineStr">
        <is>
          <t>Perancangan teknik eksploitasi penyembunyian payload metadata tool menggunakan blok Unicode TAG pada MCP tanpa mitigasi baru.</t>
        </is>
      </c>
      <c r="AA103" s="11">
        <f>IF(I103="","",IF(OR(I103="attack",I103="survey_review",I103="benchmark_measurement",I103="position_other",I103="not_defense"),"n/a",IF(OR(X103="spec_normatif",X103="produksi_bukti_publik"),"L3",IF(ISNUMBER(SEARCH("independent",R103)),"L2",IF(R103="author_run","L1",IF(R103="none","L0",""))))))</f>
        <v/>
      </c>
      <c r="AB103" s="11">
        <f>IF(I103="","",IF(AND(K103="deterministic_policy",M103="ya"),"PERIKSA: deterministic_policy tetapi LLM/ML ada dalam keputusan. ","")&amp;IF(AND(U103="ya",V103=""),"PERIKSA: adaptif=ya wajib ada kutipan. ","")&amp;IF(AND(R103="none",U103&lt;&gt;"n/a_tanpa_evaluasi",U103&lt;&gt;""),"PERIKSA: tanpa evaluasi, adaptif harus n/a. ","")&amp;IF(AND(OR(R103="author_run",R103="author_run+independent",R103="independent_only"),Q103=""),"PERIKSA: isi kelas_dievaluasi. ","")&amp;IF(AND(OR(R103="author_run",R103="author_run+independent",R103="independent_only"),W103=""),"PERIKSA: isi lokasi_bukti. ","")&amp;IF(AND(H103="tidak",R103&lt;&gt;""),"PERIKSA: tanpa teks lengkap, kosongkan kolom evaluasi. ",""))</f>
        <v/>
      </c>
      <c r="AC103" t="inlineStr">
        <is>
          <t>include</t>
        </is>
      </c>
    </row>
    <row r="104" ht="202.5" customHeight="1" s="21">
      <c r="A104" s="8" t="inlineStr">
        <is>
          <t>mohammed-2025-model-context-protocol-mcp-first</t>
        </is>
      </c>
      <c r="B104" s="8" t="inlineStr">
        <is>
          <t>Model Context Protocol (MCP) at First Glance: Studying the Security and Maintainability of MCP Servers</t>
        </is>
      </c>
      <c r="C104" s="8" t="n">
        <v>2025</v>
      </c>
      <c r="D104" s="8" t="inlineStr">
        <is>
          <t>E1</t>
        </is>
      </c>
      <c r="E104" s="8" t="inlineStr">
        <is>
          <t>scan_cepat</t>
        </is>
      </c>
      <c r="F104" s="8" t="inlineStr">
        <is>
          <t>none</t>
        </is>
      </c>
      <c r="G104" s="9" t="inlineStr">
        <is>
          <t>https://arxiv.org/abs/2506.13538</t>
        </is>
      </c>
      <c r="H104" s="10" t="n"/>
      <c r="I104" s="10" t="inlineStr">
        <is>
          <t>benchmark_measurement</t>
        </is>
      </c>
      <c r="J104" s="10" t="n"/>
      <c r="K104" s="10" t="n"/>
      <c r="L104" s="10" t="n"/>
      <c r="M104" s="10" t="n"/>
      <c r="N104" s="10" t="n"/>
      <c r="O104" s="10" t="n"/>
      <c r="P104" s="10" t="n"/>
      <c r="Q104" s="10" t="n"/>
      <c r="R104" s="10" t="n"/>
      <c r="S104" s="10" t="n"/>
      <c r="T104" s="10" t="n"/>
      <c r="U104" s="10" t="n"/>
      <c r="V104" s="10" t="n"/>
      <c r="W104" s="10" t="n"/>
      <c r="X104" s="10" t="n"/>
      <c r="Y104" s="10" t="n"/>
      <c r="Z104" s="10" t="inlineStr">
        <is>
          <t>Studi pengukuran empiris ekosistem skala besar terhadap 1.899 server MCP untuk menilai keamanan dan keterpeliharaan kode.</t>
        </is>
      </c>
      <c r="AA104" s="11">
        <f>IF(I104="","",IF(OR(I104="attack",I104="survey_review",I104="benchmark_measurement",I104="position_other",I104="not_defense"),"n/a",IF(OR(X104="spec_normatif",X104="produksi_bukti_publik"),"L3",IF(ISNUMBER(SEARCH("independent",R104)),"L2",IF(R104="author_run","L1",IF(R104="none","L0",""))))))</f>
        <v/>
      </c>
      <c r="AB104" s="11">
        <f>IF(I104="","",IF(AND(K104="deterministic_policy",M104="ya"),"PERIKSA: deterministic_policy tetapi LLM/ML ada dalam keputusan. ","")&amp;IF(AND(U104="ya",V104=""),"PERIKSA: adaptif=ya wajib ada kutipan. ","")&amp;IF(AND(R104="none",U104&lt;&gt;"n/a_tanpa_evaluasi",U104&lt;&gt;""),"PERIKSA: tanpa evaluasi, adaptif harus n/a. ","")&amp;IF(AND(OR(R104="author_run",R104="author_run+independent",R104="independent_only"),Q104=""),"PERIKSA: isi kelas_dievaluasi. ","")&amp;IF(AND(OR(R104="author_run",R104="author_run+independent",R104="independent_only"),W104=""),"PERIKSA: isi lokasi_bukti. ","")&amp;IF(AND(H104="tidak",R104&lt;&gt;""),"PERIKSA: tanpa teks lengkap, kosongkan kolom evaluasi. ",""))</f>
        <v/>
      </c>
      <c r="AC104" t="inlineStr">
        <is>
          <t>include</t>
        </is>
      </c>
    </row>
    <row r="105" ht="180" customHeight="1" s="21">
      <c r="A105" s="8" t="inlineStr">
        <is>
          <t>muhammad-2026-characterizing-network-centralization-observability-remote</t>
        </is>
      </c>
      <c r="B105" s="8" t="inlineStr">
        <is>
          <t>Characterizing Network Centralization and Observability in the Remote MCP Ecosystem</t>
        </is>
      </c>
      <c r="C105" s="8" t="n">
        <v>2026</v>
      </c>
      <c r="D105" s="8" t="inlineStr">
        <is>
          <t>E2</t>
        </is>
      </c>
      <c r="E105" s="8" t="inlineStr">
        <is>
          <t>scan_cepat</t>
        </is>
      </c>
      <c r="F105" s="8" t="inlineStr">
        <is>
          <t>none</t>
        </is>
      </c>
      <c r="G105" s="9" t="inlineStr">
        <is>
          <t>https://arxiv.org/abs/2609.19100</t>
        </is>
      </c>
      <c r="H105" s="10" t="n"/>
      <c r="I105" s="10" t="inlineStr">
        <is>
          <t>benchmark_measurement</t>
        </is>
      </c>
      <c r="J105" s="10" t="n"/>
      <c r="K105" s="10" t="n"/>
      <c r="L105" s="10" t="n"/>
      <c r="M105" s="10" t="n"/>
      <c r="N105" s="10" t="n"/>
      <c r="O105" s="10" t="n"/>
      <c r="P105" s="10" t="n"/>
      <c r="Q105" s="10" t="n"/>
      <c r="R105" s="10" t="n"/>
      <c r="S105" s="10" t="n"/>
      <c r="T105" s="10" t="n"/>
      <c r="U105" s="10" t="n"/>
      <c r="V105" s="10" t="n"/>
      <c r="W105" s="10" t="n"/>
      <c r="X105" s="10" t="n"/>
      <c r="Y105" s="10" t="n"/>
      <c r="Z105" s="10" t="inlineStr">
        <is>
          <t>Studi pengukuran empiris sentralisasi jaringan dan keteramatan (observability) pada ekosistem server MCP remote.</t>
        </is>
      </c>
      <c r="AA105" s="11">
        <f>IF(I105="","",IF(OR(I105="attack",I105="survey_review",I105="benchmark_measurement",I105="position_other",I105="not_defense"),"n/a",IF(OR(X105="spec_normatif",X105="produksi_bukti_publik"),"L3",IF(ISNUMBER(SEARCH("independent",R105)),"L2",IF(R105="author_run","L1",IF(R105="none","L0",""))))))</f>
        <v/>
      </c>
      <c r="AB105" s="11">
        <f>IF(I105="","",IF(AND(K105="deterministic_policy",M105="ya"),"PERIKSA: deterministic_policy tetapi LLM/ML ada dalam keputusan. ","")&amp;IF(AND(U105="ya",V105=""),"PERIKSA: adaptif=ya wajib ada kutipan. ","")&amp;IF(AND(R105="none",U105&lt;&gt;"n/a_tanpa_evaluasi",U105&lt;&gt;""),"PERIKSA: tanpa evaluasi, adaptif harus n/a. ","")&amp;IF(AND(OR(R105="author_run",R105="author_run+independent",R105="independent_only"),Q105=""),"PERIKSA: isi kelas_dievaluasi. ","")&amp;IF(AND(OR(R105="author_run",R105="author_run+independent",R105="independent_only"),W105=""),"PERIKSA: isi lokasi_bukti. ","")&amp;IF(AND(H105="tidak",R105&lt;&gt;""),"PERIKSA: tanpa teks lengkap, kosongkan kolom evaluasi. ",""))</f>
        <v/>
      </c>
      <c r="AC105" t="inlineStr">
        <is>
          <t>include</t>
        </is>
      </c>
    </row>
    <row r="106" ht="213.75" customHeight="1" s="21">
      <c r="A106" s="8" t="inlineStr">
        <is>
          <t>muhammad-2026-when-agents-look-like-beacons</t>
        </is>
      </c>
      <c r="B106" s="8" t="inlineStr">
        <is>
          <t>When Agents Look Like Beacons: NIDS Evasion by Model Context Protocol Traffic</t>
        </is>
      </c>
      <c r="C106" s="8" t="n">
        <v>2026</v>
      </c>
      <c r="D106" s="8" t="inlineStr">
        <is>
          <t>E2</t>
        </is>
      </c>
      <c r="E106" s="8" t="inlineStr">
        <is>
          <t>scan_cepat</t>
        </is>
      </c>
      <c r="F106" s="8" t="inlineStr">
        <is>
          <t>none</t>
        </is>
      </c>
      <c r="G106" s="9" t="inlineStr">
        <is>
          <t>https://arxiv.org/abs/2609.19091</t>
        </is>
      </c>
      <c r="H106" s="10" t="n"/>
      <c r="I106" s="10" t="inlineStr">
        <is>
          <t>attack</t>
        </is>
      </c>
      <c r="J106" s="10" t="n"/>
      <c r="K106" s="10" t="n"/>
      <c r="L106" s="10" t="n"/>
      <c r="M106" s="10" t="n"/>
      <c r="N106" s="10" t="n"/>
      <c r="O106" s="10" t="n"/>
      <c r="P106" s="10" t="n"/>
      <c r="Q106" s="10" t="n"/>
      <c r="R106" s="10" t="n"/>
      <c r="S106" s="10" t="n"/>
      <c r="T106" s="10" t="n"/>
      <c r="U106" s="10" t="n"/>
      <c r="V106" s="10" t="n"/>
      <c r="W106" s="10" t="n"/>
      <c r="X106" s="10" t="n"/>
      <c r="Y106" s="10" t="n"/>
      <c r="Z106" s="10" t="inlineStr">
        <is>
          <t>Studi penghindaran deteksi NIDS (evasion) oleh pola lalu lintas MCP dengan usulan spesifikasi header standar tanpa implementasi pertahanan.</t>
        </is>
      </c>
      <c r="AA106" s="11">
        <f>IF(I106="","",IF(OR(I106="attack",I106="survey_review",I106="benchmark_measurement",I106="position_other",I106="not_defense"),"n/a",IF(OR(X106="spec_normatif",X106="produksi_bukti_publik"),"L3",IF(ISNUMBER(SEARCH("independent",R106)),"L2",IF(R106="author_run","L1",IF(R106="none","L0",""))))))</f>
        <v/>
      </c>
      <c r="AB106" s="11">
        <f>IF(I106="","",IF(AND(K106="deterministic_policy",M106="ya"),"PERIKSA: deterministic_policy tetapi LLM/ML ada dalam keputusan. ","")&amp;IF(AND(U106="ya",V106=""),"PERIKSA: adaptif=ya wajib ada kutipan. ","")&amp;IF(AND(R106="none",U106&lt;&gt;"n/a_tanpa_evaluasi",U106&lt;&gt;""),"PERIKSA: tanpa evaluasi, adaptif harus n/a. ","")&amp;IF(AND(OR(R106="author_run",R106="author_run+independent",R106="independent_only"),Q106=""),"PERIKSA: isi kelas_dievaluasi. ","")&amp;IF(AND(OR(R106="author_run",R106="author_run+independent",R106="independent_only"),W106=""),"PERIKSA: isi lokasi_bukti. ","")&amp;IF(AND(H106="tidak",R106&lt;&gt;""),"PERIKSA: tanpa teks lengkap, kosongkan kolom evaluasi. ",""))</f>
        <v/>
      </c>
      <c r="AC106" t="inlineStr">
        <is>
          <t>include</t>
        </is>
      </c>
    </row>
    <row r="107" ht="202.5" customHeight="1" s="21">
      <c r="A107" s="8" t="inlineStr">
        <is>
          <t>murali-2026-measuring-exploiting-implicit-trust-llm</t>
        </is>
      </c>
      <c r="B107" s="8" t="inlineStr">
        <is>
          <t>Measuring and Exploiting Implicit Trust in LLM Tool-Calling Pipelines</t>
        </is>
      </c>
      <c r="C107" s="8" t="n">
        <v>2026</v>
      </c>
      <c r="D107" s="8" t="inlineStr">
        <is>
          <t>E2</t>
        </is>
      </c>
      <c r="E107" s="8" t="inlineStr">
        <is>
          <t>scan_cepat</t>
        </is>
      </c>
      <c r="F107" s="8" t="inlineStr">
        <is>
          <t>none</t>
        </is>
      </c>
      <c r="G107" s="9" t="inlineStr">
        <is>
          <t>https://arxiv.org/abs/2609.18217</t>
        </is>
      </c>
      <c r="H107" s="10" t="n"/>
      <c r="I107" s="10" t="inlineStr">
        <is>
          <t>attack</t>
        </is>
      </c>
      <c r="J107" s="10" t="n"/>
      <c r="K107" s="10" t="n"/>
      <c r="L107" s="10" t="n"/>
      <c r="M107" s="10" t="n"/>
      <c r="N107" s="10" t="n"/>
      <c r="O107" s="10" t="n"/>
      <c r="P107" s="10" t="n"/>
      <c r="Q107" s="10" t="n"/>
      <c r="R107" s="10" t="n"/>
      <c r="S107" s="10" t="n"/>
      <c r="T107" s="10" t="n"/>
      <c r="U107" s="10" t="n"/>
      <c r="V107" s="10" t="n"/>
      <c r="W107" s="10" t="n"/>
      <c r="X107" s="10" t="n"/>
      <c r="Y107" s="10" t="n"/>
      <c r="Z107" s="10" t="inlineStr">
        <is>
          <t>Pengembangan teknik serangan fragmentasi lintas-kanal (cross-channel fragmentation attack) pada saluran MCP tanpa mitigasi baru.</t>
        </is>
      </c>
      <c r="AA107" s="11">
        <f>IF(I107="","",IF(OR(I107="attack",I107="survey_review",I107="benchmark_measurement",I107="position_other",I107="not_defense"),"n/a",IF(OR(X107="spec_normatif",X107="produksi_bukti_publik"),"L3",IF(ISNUMBER(SEARCH("independent",R107)),"L2",IF(R107="author_run","L1",IF(R107="none","L0",""))))))</f>
        <v/>
      </c>
      <c r="AB107" s="11">
        <f>IF(I107="","",IF(AND(K107="deterministic_policy",M107="ya"),"PERIKSA: deterministic_policy tetapi LLM/ML ada dalam keputusan. ","")&amp;IF(AND(U107="ya",V107=""),"PERIKSA: adaptif=ya wajib ada kutipan. ","")&amp;IF(AND(R107="none",U107&lt;&gt;"n/a_tanpa_evaluasi",U107&lt;&gt;""),"PERIKSA: tanpa evaluasi, adaptif harus n/a. ","")&amp;IF(AND(OR(R107="author_run",R107="author_run+independent",R107="independent_only"),Q107=""),"PERIKSA: isi kelas_dievaluasi. ","")&amp;IF(AND(OR(R107="author_run",R107="author_run+independent",R107="independent_only"),W107=""),"PERIKSA: isi lokasi_bukti. ","")&amp;IF(AND(H107="tidak",R107&lt;&gt;""),"PERIKSA: tanpa teks lengkap, kosongkan kolom evaluasi. ",""))</f>
        <v/>
      </c>
      <c r="AC107" t="inlineStr">
        <is>
          <t>include</t>
        </is>
      </c>
    </row>
    <row r="108" ht="213.75" customHeight="1" s="21">
      <c r="A108" s="8" t="inlineStr">
        <is>
          <t>nanzi-2026-compatibility-cost-systematic-discovery-exploitation</t>
        </is>
      </c>
      <c r="B108" s="8" t="inlineStr">
        <is>
          <t>Compatibility at a Cost: Systematic Discovery and Exploitation of MCP Clause-Compliance Vulnerabilities</t>
        </is>
      </c>
      <c r="C108" s="8" t="n">
        <v>2026</v>
      </c>
      <c r="D108" s="8" t="inlineStr">
        <is>
          <t>E2</t>
        </is>
      </c>
      <c r="E108" s="8" t="inlineStr">
        <is>
          <t>scan_cepat</t>
        </is>
      </c>
      <c r="F108" s="8" t="inlineStr">
        <is>
          <t>none</t>
        </is>
      </c>
      <c r="G108" s="9" t="inlineStr">
        <is>
          <t>https://arxiv.org/abs/2603.10163</t>
        </is>
      </c>
      <c r="H108" s="10" t="n"/>
      <c r="I108" s="10" t="inlineStr">
        <is>
          <t>attack</t>
        </is>
      </c>
      <c r="J108" s="10" t="n"/>
      <c r="K108" s="10" t="n"/>
      <c r="L108" s="10" t="n"/>
      <c r="M108" s="10" t="n"/>
      <c r="N108" s="10" t="n"/>
      <c r="O108" s="10" t="n"/>
      <c r="P108" s="10" t="n"/>
      <c r="Q108" s="10" t="n"/>
      <c r="R108" s="10" t="n"/>
      <c r="S108" s="10" t="n"/>
      <c r="T108" s="10" t="n"/>
      <c r="U108" s="10" t="n"/>
      <c r="V108" s="10" t="n"/>
      <c r="W108" s="10" t="n"/>
      <c r="X108" s="10" t="n"/>
      <c r="Y108" s="10" t="n"/>
      <c r="Z108" s="10" t="inlineStr">
        <is>
          <t>Kerangka kerja penemuan dan eksploitasi kerentanan ketidakpatuhan klausa spesifikasi pada SDK MCP (compatibility-abusing attacks).</t>
        </is>
      </c>
      <c r="AA108" s="11">
        <f>IF(I108="","",IF(OR(I108="attack",I108="survey_review",I108="benchmark_measurement",I108="position_other",I108="not_defense"),"n/a",IF(OR(X108="spec_normatif",X108="produksi_bukti_publik"),"L3",IF(ISNUMBER(SEARCH("independent",R108)),"L2",IF(R108="author_run","L1",IF(R108="none","L0",""))))))</f>
        <v/>
      </c>
      <c r="AB108" s="11">
        <f>IF(I108="","",IF(AND(K108="deterministic_policy",M108="ya"),"PERIKSA: deterministic_policy tetapi LLM/ML ada dalam keputusan. ","")&amp;IF(AND(U108="ya",V108=""),"PERIKSA: adaptif=ya wajib ada kutipan. ","")&amp;IF(AND(R108="none",U108&lt;&gt;"n/a_tanpa_evaluasi",U108&lt;&gt;""),"PERIKSA: tanpa evaluasi, adaptif harus n/a. ","")&amp;IF(AND(OR(R108="author_run",R108="author_run+independent",R108="independent_only"),Q108=""),"PERIKSA: isi kelas_dievaluasi. ","")&amp;IF(AND(OR(R108="author_run",R108="author_run+independent",R108="independent_only"),W108=""),"PERIKSA: isi lokasi_bukti. ","")&amp;IF(AND(H108="tidak",R108&lt;&gt;""),"PERIKSA: tanpa teks lengkap, kosongkan kolom evaluasi. ",""))</f>
        <v/>
      </c>
      <c r="AC108" t="inlineStr">
        <is>
          <t>include</t>
        </is>
      </c>
    </row>
    <row r="109" ht="180" customHeight="1" s="21">
      <c r="A109" s="8" t="inlineStr">
        <is>
          <t>nicol-2026-exposed-design-dynamic-security-assessment</t>
        </is>
      </c>
      <c r="B109" s="8" t="inlineStr">
        <is>
          <t>Exposed by Design: A Dynamic Security Assessment of Internet-Facing MCP Servers at Scale</t>
        </is>
      </c>
      <c r="C109" s="8" t="n">
        <v>2026</v>
      </c>
      <c r="D109" s="8" t="inlineStr">
        <is>
          <t>E2</t>
        </is>
      </c>
      <c r="E109" s="8" t="inlineStr">
        <is>
          <t>scan_cepat</t>
        </is>
      </c>
      <c r="F109" s="8" t="inlineStr">
        <is>
          <t>none</t>
        </is>
      </c>
      <c r="G109" s="9" t="inlineStr">
        <is>
          <t>https://arxiv.org/abs/2608.00150</t>
        </is>
      </c>
      <c r="H109" s="10" t="n"/>
      <c r="I109" s="10" t="inlineStr">
        <is>
          <t>benchmark_measurement</t>
        </is>
      </c>
      <c r="J109" s="10" t="n"/>
      <c r="K109" s="10" t="n"/>
      <c r="L109" s="10" t="n"/>
      <c r="M109" s="10" t="n"/>
      <c r="N109" s="10" t="n"/>
      <c r="O109" s="10" t="n"/>
      <c r="P109" s="10" t="n"/>
      <c r="Q109" s="10" t="n"/>
      <c r="R109" s="10" t="n"/>
      <c r="S109" s="10" t="n"/>
      <c r="T109" s="10" t="n"/>
      <c r="U109" s="10" t="n"/>
      <c r="V109" s="10" t="n"/>
      <c r="W109" s="10" t="n"/>
      <c r="X109" s="10" t="n"/>
      <c r="Y109" s="10" t="n"/>
      <c r="Z109" s="10" t="inlineStr">
        <is>
          <t>Studi asesmen keamanan dinamis skala besar terhadap server MCP yang terekspos internet menggunakan framework Corvus.</t>
        </is>
      </c>
      <c r="AA109" s="11">
        <f>IF(I109="","",IF(OR(I109="attack",I109="survey_review",I109="benchmark_measurement",I109="position_other",I109="not_defense"),"n/a",IF(OR(X109="spec_normatif",X109="produksi_bukti_publik"),"L3",IF(ISNUMBER(SEARCH("independent",R109)),"L2",IF(R109="author_run","L1",IF(R109="none","L0",""))))))</f>
        <v/>
      </c>
      <c r="AB109" s="11">
        <f>IF(I109="","",IF(AND(K109="deterministic_policy",M109="ya"),"PERIKSA: deterministic_policy tetapi LLM/ML ada dalam keputusan. ","")&amp;IF(AND(U109="ya",V109=""),"PERIKSA: adaptif=ya wajib ada kutipan. ","")&amp;IF(AND(R109="none",U109&lt;&gt;"n/a_tanpa_evaluasi",U109&lt;&gt;""),"PERIKSA: tanpa evaluasi, adaptif harus n/a. ","")&amp;IF(AND(OR(R109="author_run",R109="author_run+independent",R109="independent_only"),Q109=""),"PERIKSA: isi kelas_dievaluasi. ","")&amp;IF(AND(OR(R109="author_run",R109="author_run+independent",R109="independent_only"),W109=""),"PERIKSA: isi lokasi_bukti. ","")&amp;IF(AND(H109="tidak",R109&lt;&gt;""),"PERIKSA: tanpa teks lengkap, kosongkan kolom evaluasi. ",""))</f>
        <v/>
      </c>
      <c r="AC109" t="inlineStr">
        <is>
          <t>include</t>
        </is>
      </c>
    </row>
    <row r="110" ht="213.75" customHeight="1" s="21">
      <c r="A110" s="8" t="inlineStr">
        <is>
          <t>nicola-2025-trivial-trojans-how-minimal-mcp</t>
        </is>
      </c>
      <c r="B110" s="8" t="inlineStr">
        <is>
          <t>Trivial Trojans: How Minimal MCP Servers Enable Cross-Tool Exfiltration of Sensitive Data</t>
        </is>
      </c>
      <c r="C110" s="8" t="n">
        <v>2025</v>
      </c>
      <c r="D110" s="8" t="inlineStr">
        <is>
          <t>E2</t>
        </is>
      </c>
      <c r="E110" s="8" t="inlineStr">
        <is>
          <t>scan_cepat</t>
        </is>
      </c>
      <c r="F110" s="8" t="inlineStr">
        <is>
          <t>none</t>
        </is>
      </c>
      <c r="G110" s="9" t="inlineStr">
        <is>
          <t>https://arxiv.org/abs/2507.19880</t>
        </is>
      </c>
      <c r="H110" s="10" t="n"/>
      <c r="I110" s="10" t="inlineStr">
        <is>
          <t>attack</t>
        </is>
      </c>
      <c r="J110" s="10" t="n"/>
      <c r="K110" s="10" t="n"/>
      <c r="L110" s="10" t="n"/>
      <c r="M110" s="10" t="n"/>
      <c r="N110" s="10" t="n"/>
      <c r="O110" s="10" t="n"/>
      <c r="P110" s="10" t="n"/>
      <c r="Q110" s="10" t="n"/>
      <c r="R110" s="10" t="n"/>
      <c r="S110" s="10" t="n"/>
      <c r="T110" s="10" t="n"/>
      <c r="U110" s="10" t="n"/>
      <c r="V110" s="10" t="n"/>
      <c r="W110" s="10" t="n"/>
      <c r="X110" s="10" t="n"/>
      <c r="Y110" s="10" t="n"/>
      <c r="Z110" s="10" t="inlineStr">
        <is>
          <t>Pembuktian konsep (PoC) serangan eksfiltrasi data lintas-tool menggunakan server MCP berbahaya minimal tanpa implementasi pertahanan.</t>
        </is>
      </c>
      <c r="AA110" s="11">
        <f>IF(I110="","",IF(OR(I110="attack",I110="survey_review",I110="benchmark_measurement",I110="position_other",I110="not_defense"),"n/a",IF(OR(X110="spec_normatif",X110="produksi_bukti_publik"),"L3",IF(ISNUMBER(SEARCH("independent",R110)),"L2",IF(R110="author_run","L1",IF(R110="none","L0",""))))))</f>
        <v/>
      </c>
      <c r="AB110" s="11">
        <f>IF(I110="","",IF(AND(K110="deterministic_policy",M110="ya"),"PERIKSA: deterministic_policy tetapi LLM/ML ada dalam keputusan. ","")&amp;IF(AND(U110="ya",V110=""),"PERIKSA: adaptif=ya wajib ada kutipan. ","")&amp;IF(AND(R110="none",U110&lt;&gt;"n/a_tanpa_evaluasi",U110&lt;&gt;""),"PERIKSA: tanpa evaluasi, adaptif harus n/a. ","")&amp;IF(AND(OR(R110="author_run",R110="author_run+independent",R110="independent_only"),Q110=""),"PERIKSA: isi kelas_dievaluasi. ","")&amp;IF(AND(OR(R110="author_run",R110="author_run+independent",R110="independent_only"),W110=""),"PERIKSA: isi lokasi_bukti. ","")&amp;IF(AND(H110="tidak",R110&lt;&gt;""),"PERIKSA: tanpa teks lengkap, kosongkan kolom evaluasi. ",""))</f>
        <v/>
      </c>
      <c r="AC110" t="inlineStr">
        <is>
          <t>include</t>
        </is>
      </c>
    </row>
    <row r="111" ht="157.5" customHeight="1" s="21">
      <c r="A111" s="8" t="inlineStr">
        <is>
          <t>nvd-2025-vulnerability-disclosure-cve-2025-47274</t>
        </is>
      </c>
      <c r="B111" s="8" t="inlineStr">
        <is>
          <t>Vulnerability Disclosure: CVE-2025-47274</t>
        </is>
      </c>
      <c r="C111" s="8" t="n">
        <v>2025</v>
      </c>
      <c r="D111" s="8" t="inlineStr">
        <is>
          <t>E4</t>
        </is>
      </c>
      <c r="E111" s="8" t="inlineStr">
        <is>
          <t>scan_cepat</t>
        </is>
      </c>
      <c r="F111" s="8" t="inlineStr">
        <is>
          <t>none</t>
        </is>
      </c>
      <c r="G111" s="8" t="n"/>
      <c r="H111" s="10" t="n"/>
      <c r="I111" s="10" t="inlineStr">
        <is>
          <t>not_defense</t>
        </is>
      </c>
      <c r="J111" s="10" t="n"/>
      <c r="K111" s="10" t="n"/>
      <c r="L111" s="10" t="n"/>
      <c r="M111" s="10" t="n"/>
      <c r="N111" s="10" t="n"/>
      <c r="O111" s="10" t="n"/>
      <c r="P111" s="10" t="n"/>
      <c r="Q111" s="10" t="n"/>
      <c r="R111" s="10" t="n"/>
      <c r="S111" s="10" t="n"/>
      <c r="T111" s="10" t="n"/>
      <c r="U111" s="10" t="n"/>
      <c r="V111" s="10" t="n"/>
      <c r="W111" s="10" t="n"/>
      <c r="X111" s="10" t="n"/>
      <c r="Y111" s="10" t="n"/>
      <c r="Z111" s="10" t="inlineStr">
        <is>
          <t>Pengungkapan kerentanan resmi (CVE advisory) pada utilitas ToolHive, bukan makalah penelitian pertahanan MCP.</t>
        </is>
      </c>
      <c r="AA111" s="11">
        <f>IF(I111="","",IF(OR(I111="attack",I111="survey_review",I111="benchmark_measurement",I111="position_other",I111="not_defense"),"n/a",IF(OR(X111="spec_normatif",X111="produksi_bukti_publik"),"L3",IF(ISNUMBER(SEARCH("independent",R111)),"L2",IF(R111="author_run","L1",IF(R111="none","L0",""))))))</f>
        <v/>
      </c>
      <c r="AB111" s="11">
        <f>IF(I111="","",IF(AND(K111="deterministic_policy",M111="ya"),"PERIKSA: deterministic_policy tetapi LLM/ML ada dalam keputusan. ","")&amp;IF(AND(U111="ya",V111=""),"PERIKSA: adaptif=ya wajib ada kutipan. ","")&amp;IF(AND(R111="none",U111&lt;&gt;"n/a_tanpa_evaluasi",U111&lt;&gt;""),"PERIKSA: tanpa evaluasi, adaptif harus n/a. ","")&amp;IF(AND(OR(R111="author_run",R111="author_run+independent",R111="independent_only"),Q111=""),"PERIKSA: isi kelas_dievaluasi. ","")&amp;IF(AND(OR(R111="author_run",R111="author_run+independent",R111="independent_only"),W111=""),"PERIKSA: isi lokasi_bukti. ","")&amp;IF(AND(H111="tidak",R111&lt;&gt;""),"PERIKSA: tanpa teks lengkap, kosongkan kolom evaluasi. ",""))</f>
        <v/>
      </c>
      <c r="AC111" t="inlineStr">
        <is>
          <t>include</t>
        </is>
      </c>
    </row>
    <row r="112" ht="168.75" customHeight="1" s="21">
      <c r="A112" s="8" t="inlineStr">
        <is>
          <t>nvd-2025-vulnerability-disclosure-cve-2025-53109</t>
        </is>
      </c>
      <c r="B112" s="8" t="inlineStr">
        <is>
          <t>Vulnerability Disclosure: CVE-2025-53109</t>
        </is>
      </c>
      <c r="C112" s="8" t="n">
        <v>2025</v>
      </c>
      <c r="D112" s="8" t="inlineStr">
        <is>
          <t>E4</t>
        </is>
      </c>
      <c r="E112" s="8" t="inlineStr">
        <is>
          <t>scan_cepat</t>
        </is>
      </c>
      <c r="F112" s="8" t="inlineStr">
        <is>
          <t>none</t>
        </is>
      </c>
      <c r="G112" s="8" t="n"/>
      <c r="H112" s="10" t="n"/>
      <c r="I112" s="10" t="inlineStr">
        <is>
          <t>not_defense</t>
        </is>
      </c>
      <c r="J112" s="10" t="n"/>
      <c r="K112" s="10" t="n"/>
      <c r="L112" s="10" t="n"/>
      <c r="M112" s="10" t="n"/>
      <c r="N112" s="10" t="n"/>
      <c r="O112" s="10" t="n"/>
      <c r="P112" s="10" t="n"/>
      <c r="Q112" s="10" t="n"/>
      <c r="R112" s="10" t="n"/>
      <c r="S112" s="10" t="n"/>
      <c r="T112" s="10" t="n"/>
      <c r="U112" s="10" t="n"/>
      <c r="V112" s="10" t="n"/>
      <c r="W112" s="10" t="n"/>
      <c r="X112" s="10" t="n"/>
      <c r="Y112" s="10" t="n"/>
      <c r="Z112" s="10" t="inlineStr">
        <is>
          <t>Pengungkapan kerentanan resmi (CVE advisory) pada server Filesystem MCP, bukan makalah penelitian pertahanan MCP.</t>
        </is>
      </c>
      <c r="AA112" s="11">
        <f>IF(I112="","",IF(OR(I112="attack",I112="survey_review",I112="benchmark_measurement",I112="position_other",I112="not_defense"),"n/a",IF(OR(X112="spec_normatif",X112="produksi_bukti_publik"),"L3",IF(ISNUMBER(SEARCH("independent",R112)),"L2",IF(R112="author_run","L1",IF(R112="none","L0",""))))))</f>
        <v/>
      </c>
      <c r="AB112" s="11">
        <f>IF(I112="","",IF(AND(K112="deterministic_policy",M112="ya"),"PERIKSA: deterministic_policy tetapi LLM/ML ada dalam keputusan. ","")&amp;IF(AND(U112="ya",V112=""),"PERIKSA: adaptif=ya wajib ada kutipan. ","")&amp;IF(AND(R112="none",U112&lt;&gt;"n/a_tanpa_evaluasi",U112&lt;&gt;""),"PERIKSA: tanpa evaluasi, adaptif harus n/a. ","")&amp;IF(AND(OR(R112="author_run",R112="author_run+independent",R112="independent_only"),Q112=""),"PERIKSA: isi kelas_dievaluasi. ","")&amp;IF(AND(OR(R112="author_run",R112="author_run+independent",R112="independent_only"),W112=""),"PERIKSA: isi lokasi_bukti. ","")&amp;IF(AND(H112="tidak",R112&lt;&gt;""),"PERIKSA: tanpa teks lengkap, kosongkan kolom evaluasi. ",""))</f>
        <v/>
      </c>
      <c r="AC112" t="inlineStr">
        <is>
          <t>include</t>
        </is>
      </c>
    </row>
    <row r="113" ht="191.25" customHeight="1" s="21">
      <c r="A113" s="8" t="inlineStr">
        <is>
          <t>nvd-2026-vulnerability-disclosure-cve-2026-35568</t>
        </is>
      </c>
      <c r="B113" s="8" t="inlineStr">
        <is>
          <t>Vulnerability Disclosure: CVE-2026-35568</t>
        </is>
      </c>
      <c r="C113" s="8" t="n">
        <v>2026</v>
      </c>
      <c r="D113" s="8" t="inlineStr">
        <is>
          <t>E4</t>
        </is>
      </c>
      <c r="E113" s="8" t="inlineStr">
        <is>
          <t>scan_cepat</t>
        </is>
      </c>
      <c r="F113" s="8" t="inlineStr">
        <is>
          <t>none</t>
        </is>
      </c>
      <c r="G113" s="8" t="n"/>
      <c r="H113" s="10" t="n"/>
      <c r="I113" s="10" t="inlineStr">
        <is>
          <t>not_defense</t>
        </is>
      </c>
      <c r="J113" s="10" t="n"/>
      <c r="K113" s="10" t="n"/>
      <c r="L113" s="10" t="n"/>
      <c r="M113" s="10" t="n"/>
      <c r="N113" s="10" t="n"/>
      <c r="O113" s="10" t="n"/>
      <c r="P113" s="10" t="n"/>
      <c r="Q113" s="10" t="n"/>
      <c r="R113" s="10" t="n"/>
      <c r="S113" s="10" t="n"/>
      <c r="T113" s="10" t="n"/>
      <c r="U113" s="10" t="n"/>
      <c r="V113" s="10" t="n"/>
      <c r="W113" s="10" t="n"/>
      <c r="X113" s="10" t="n"/>
      <c r="Y113" s="10" t="n"/>
      <c r="Z113" s="10" t="inlineStr">
        <is>
          <t>Pengungkapan kerentanan resmi (CVE advisory) mengenai DNS rebinding pada Java SDK MCP, bukan makalah penelitian pertahanan MCP.</t>
        </is>
      </c>
      <c r="AA113" s="11">
        <f>IF(I113="","",IF(OR(I113="attack",I113="survey_review",I113="benchmark_measurement",I113="position_other",I113="not_defense"),"n/a",IF(OR(X113="spec_normatif",X113="produksi_bukti_publik"),"L3",IF(ISNUMBER(SEARCH("independent",R113)),"L2",IF(R113="author_run","L1",IF(R113="none","L0",""))))))</f>
        <v/>
      </c>
      <c r="AB113" s="11">
        <f>IF(I113="","",IF(AND(K113="deterministic_policy",M113="ya"),"PERIKSA: deterministic_policy tetapi LLM/ML ada dalam keputusan. ","")&amp;IF(AND(U113="ya",V113=""),"PERIKSA: adaptif=ya wajib ada kutipan. ","")&amp;IF(AND(R113="none",U113&lt;&gt;"n/a_tanpa_evaluasi",U113&lt;&gt;""),"PERIKSA: tanpa evaluasi, adaptif harus n/a. ","")&amp;IF(AND(OR(R113="author_run",R113="author_run+independent",R113="independent_only"),Q113=""),"PERIKSA: isi kelas_dievaluasi. ","")&amp;IF(AND(OR(R113="author_run",R113="author_run+independent",R113="independent_only"),W113=""),"PERIKSA: isi lokasi_bukti. ","")&amp;IF(AND(H113="tidak",R113&lt;&gt;""),"PERIKSA: tanpa teks lengkap, kosongkan kolom evaluasi. ",""))</f>
        <v/>
      </c>
      <c r="AC113" t="inlineStr">
        <is>
          <t>include</t>
        </is>
      </c>
    </row>
    <row r="114" ht="191.25" customHeight="1" s="21">
      <c r="A114" s="8" t="inlineStr">
        <is>
          <t>obada-2026-same-name-different-server-security</t>
        </is>
      </c>
      <c r="B114" s="8" t="inlineStr">
        <is>
          <t>Same Name, Different Server: A Security Census of Silent Drift in the Model Context Protocol Ecosystem</t>
        </is>
      </c>
      <c r="C114" s="8" t="n">
        <v>2026</v>
      </c>
      <c r="D114" s="8" t="inlineStr">
        <is>
          <t>E2</t>
        </is>
      </c>
      <c r="E114" s="8" t="inlineStr">
        <is>
          <t>scan_cepat</t>
        </is>
      </c>
      <c r="F114" s="8" t="inlineStr">
        <is>
          <t>none</t>
        </is>
      </c>
      <c r="G114" s="9" t="inlineStr">
        <is>
          <t>https://arxiv.org/abs/2609.14119</t>
        </is>
      </c>
      <c r="H114" s="10" t="n"/>
      <c r="I114" s="10" t="inlineStr">
        <is>
          <t>benchmark_measurement</t>
        </is>
      </c>
      <c r="J114" s="10" t="n"/>
      <c r="K114" s="10" t="n"/>
      <c r="L114" s="10" t="n"/>
      <c r="M114" s="10" t="n"/>
      <c r="N114" s="10" t="n"/>
      <c r="O114" s="10" t="n"/>
      <c r="P114" s="10" t="n"/>
      <c r="Q114" s="10" t="n"/>
      <c r="R114" s="10" t="n"/>
      <c r="S114" s="10" t="n"/>
      <c r="T114" s="10" t="n"/>
      <c r="U114" s="10" t="n"/>
      <c r="V114" s="10" t="n"/>
      <c r="W114" s="10" t="n"/>
      <c r="X114" s="10" t="n"/>
      <c r="Y114" s="10" t="n"/>
      <c r="Z114" s="10" t="inlineStr">
        <is>
          <t>Sensus keamanan ekosistem skala besar yang mengukur prevalensi pergeseran diam-diam (silent drift) pada registri MCP.</t>
        </is>
      </c>
      <c r="AA114" s="11">
        <f>IF(I114="","",IF(OR(I114="attack",I114="survey_review",I114="benchmark_measurement",I114="position_other",I114="not_defense"),"n/a",IF(OR(X114="spec_normatif",X114="produksi_bukti_publik"),"L3",IF(ISNUMBER(SEARCH("independent",R114)),"L2",IF(R114="author_run","L1",IF(R114="none","L0",""))))))</f>
        <v/>
      </c>
      <c r="AB114" s="11">
        <f>IF(I114="","",IF(AND(K114="deterministic_policy",M114="ya"),"PERIKSA: deterministic_policy tetapi LLM/ML ada dalam keputusan. ","")&amp;IF(AND(U114="ya",V114=""),"PERIKSA: adaptif=ya wajib ada kutipan. ","")&amp;IF(AND(R114="none",U114&lt;&gt;"n/a_tanpa_evaluasi",U114&lt;&gt;""),"PERIKSA: tanpa evaluasi, adaptif harus n/a. ","")&amp;IF(AND(OR(R114="author_run",R114="author_run+independent",R114="independent_only"),Q114=""),"PERIKSA: isi kelas_dievaluasi. ","")&amp;IF(AND(OR(R114="author_run",R114="author_run+independent",R114="independent_only"),W114=""),"PERIKSA: isi lokasi_bukti. ","")&amp;IF(AND(H114="tidak",R114&lt;&gt;""),"PERIKSA: tanpa teks lengkap, kosongkan kolom evaluasi. ",""))</f>
        <v/>
      </c>
      <c r="AC114" t="inlineStr">
        <is>
          <t>include</t>
        </is>
      </c>
    </row>
    <row r="115" ht="325.5" customHeight="1" s="21">
      <c r="A115" s="8" t="inlineStr">
        <is>
          <t>om-2026-chainwatch-kill-chain-aligned-sequential</t>
        </is>
      </c>
      <c r="B115" s="8" t="inlineStr">
        <is>
          <t>ChainWatch: A Kill Chain-Aligned Sequential Detection Framework for Multi-Step Attacks in MCP-Based AI Agent Systems</t>
        </is>
      </c>
      <c r="C115" s="8" t="n">
        <v>2026</v>
      </c>
      <c r="D115" s="8" t="inlineStr">
        <is>
          <t>E2</t>
        </is>
      </c>
      <c r="E115" s="8" t="inlineStr">
        <is>
          <t>scan_cepat</t>
        </is>
      </c>
      <c r="F115" s="8" t="inlineStr">
        <is>
          <t>none</t>
        </is>
      </c>
      <c r="G115" s="9" t="inlineStr">
        <is>
          <t>https://arxiv.org/abs/2607.19432</t>
        </is>
      </c>
      <c r="H115" s="10" t="inlineStr">
        <is>
          <t>ya</t>
        </is>
      </c>
      <c r="I115" s="10" t="inlineStr">
        <is>
          <t>defense_primary</t>
        </is>
      </c>
      <c r="J115" s="10" t="inlineStr">
        <is>
          <t>ChainWatch</t>
        </is>
      </c>
      <c r="K115" s="10" t="inlineStr">
        <is>
          <t>content_inspection_runtime</t>
        </is>
      </c>
      <c r="L115" s="10" t="inlineStr">
        <is>
          <t>Kerangka deteksi sekuensial yang menyelaraskan urutan pemanggilan tool MCP dengan tahapan kill chain untuk mendeteksi serangan multi-langkah yang lolos dari pemeriksaan per-panggilan.</t>
        </is>
      </c>
      <c r="M115" s="10" t="inlineStr">
        <is>
          <t>ya</t>
        </is>
      </c>
      <c r="N115" s="10" t="inlineStr">
        <is>
          <t>H</t>
        </is>
      </c>
      <c r="O115" s="10" t="inlineStr">
        <is>
          <t>R2;R3;R5</t>
        </is>
      </c>
      <c r="P115" s="10" t="inlineStr">
        <is>
          <t>D1;D2</t>
        </is>
      </c>
      <c r="Q115" s="10" t="n"/>
      <c r="R115" s="10" t="inlineStr">
        <is>
          <t>none</t>
        </is>
      </c>
      <c r="S115" s="10" t="n"/>
      <c r="T115" s="10" t="inlineStr">
        <is>
          <t>none</t>
        </is>
      </c>
      <c r="U115" s="10" t="inlineStr">
        <is>
          <t>n/a_tanpa_evaluasi</t>
        </is>
      </c>
      <c r="V115" s="10" t="n"/>
      <c r="W115" s="10" t="inlineStr">
        <is>
          <t>Sec. 3, Gbr 2, hal. 5-7</t>
        </is>
      </c>
      <c r="X115" s="10" t="inlineStr">
        <is>
          <t>none</t>
        </is>
      </c>
      <c r="Y115" s="10" t="inlineStr">
        <is>
          <t>not_reported</t>
        </is>
      </c>
      <c r="Z115" s="10" t="inlineStr">
        <is>
          <t>Rancangan kerangka kerja deteksi sekuensial ChainWatch untuk serangan multi-langkah MCP; dievaluasi melalui analisis skenario naratif tanpa evaluasi eksperimental empiris (L0).</t>
        </is>
      </c>
      <c r="AA115" s="11">
        <f>IF(I115="","",IF(OR(I115="attack",I115="survey_review",I115="benchmark_measurement",I115="position_other",I115="not_defense"),"n/a",IF(OR(X115="spec_normatif",X115="produksi_bukti_publik"),"L3",IF(ISNUMBER(SEARCH("independent",R115)),"L2",IF(R115="author_run","L1",IF(R115="none","L0",""))))))</f>
        <v/>
      </c>
      <c r="AB115" s="11">
        <f>IF(I115="","",IF(AND(K115="deterministic_policy",M115="ya"),"PERIKSA: deterministic_policy tetapi LLM/ML ada dalam keputusan. ","")&amp;IF(AND(U115="ya",V115=""),"PERIKSA: adaptif=ya wajib ada kutipan. ","")&amp;IF(AND(R115="none",U115&lt;&gt;"n/a_tanpa_evaluasi",U115&lt;&gt;""),"PERIKSA: tanpa evaluasi, adaptif harus n/a. ","")&amp;IF(AND(OR(R115="author_run",R115="author_run+independent",R115="independent_only"),Q115=""),"PERIKSA: isi kelas_dievaluasi. ","")&amp;IF(AND(OR(R115="author_run",R115="author_run+independent",R115="independent_only"),W115=""),"PERIKSA: isi lokasi_bukti. ","")&amp;IF(AND(H115="tidak",R115&lt;&gt;""),"PERIKSA: tanpa teks lengkap, kosongkan kolom evaluasi. ",""))</f>
        <v/>
      </c>
      <c r="AC115" t="inlineStr">
        <is>
          <t>include</t>
        </is>
      </c>
    </row>
    <row r="116" ht="157.5" customHeight="1" s="21">
      <c r="A116" s="8" t="inlineStr">
        <is>
          <t>partha-2025-survey-model-context-protocol-architecture</t>
        </is>
      </c>
      <c r="B116" s="8" t="inlineStr">
        <is>
          <t>A Survey on Model Context Protocol: Architecture, State-of-the-art, Challenges and Future Directions</t>
        </is>
      </c>
      <c r="C116" s="8" t="n">
        <v>2025</v>
      </c>
      <c r="D116" s="8" t="inlineStr">
        <is>
          <t>E2</t>
        </is>
      </c>
      <c r="E116" s="8" t="inlineStr">
        <is>
          <t>scan_cepat</t>
        </is>
      </c>
      <c r="F116" s="8" t="inlineStr">
        <is>
          <t>none</t>
        </is>
      </c>
      <c r="G116" s="9" t="inlineStr">
        <is>
          <t>https://doi.org/10.36227/techrxiv.174495492.22752319/v1</t>
        </is>
      </c>
      <c r="H116" s="10" t="n"/>
      <c r="I116" s="10" t="inlineStr">
        <is>
          <t>survey_review</t>
        </is>
      </c>
      <c r="J116" s="10" t="n"/>
      <c r="K116" s="10" t="n"/>
      <c r="L116" s="10" t="n"/>
      <c r="M116" s="10" t="n"/>
      <c r="N116" s="10" t="n"/>
      <c r="O116" s="10" t="n"/>
      <c r="P116" s="10" t="n"/>
      <c r="Q116" s="10" t="n"/>
      <c r="R116" s="10" t="n"/>
      <c r="S116" s="10" t="n"/>
      <c r="T116" s="10" t="n"/>
      <c r="U116" s="10" t="n"/>
      <c r="V116" s="10" t="n"/>
      <c r="W116" s="10" t="n"/>
      <c r="X116" s="10" t="n"/>
      <c r="Y116" s="10" t="n"/>
      <c r="Z116" s="10" t="inlineStr">
        <is>
          <t>Survei komprehensif arsitektur, semantik transport, dan tantangan terbuka MCP dari perspektif sistem komunikasi.</t>
        </is>
      </c>
      <c r="AA116" s="11">
        <f>IF(I116="","",IF(OR(I116="attack",I116="survey_review",I116="benchmark_measurement",I116="position_other",I116="not_defense"),"n/a",IF(OR(X116="spec_normatif",X116="produksi_bukti_publik"),"L3",IF(ISNUMBER(SEARCH("independent",R116)),"L2",IF(R116="author_run","L1",IF(R116="none","L0",""))))))</f>
        <v/>
      </c>
      <c r="AB116" s="11">
        <f>IF(I116="","",IF(AND(K116="deterministic_policy",M116="ya"),"PERIKSA: deterministic_policy tetapi LLM/ML ada dalam keputusan. ","")&amp;IF(AND(U116="ya",V116=""),"PERIKSA: adaptif=ya wajib ada kutipan. ","")&amp;IF(AND(R116="none",U116&lt;&gt;"n/a_tanpa_evaluasi",U116&lt;&gt;""),"PERIKSA: tanpa evaluasi, adaptif harus n/a. ","")&amp;IF(AND(OR(R116="author_run",R116="author_run+independent",R116="independent_only"),Q116=""),"PERIKSA: isi kelas_dievaluasi. ","")&amp;IF(AND(OR(R116="author_run",R116="author_run+independent",R116="independent_only"),W116=""),"PERIKSA: isi lokasi_bukti. ","")&amp;IF(AND(H116="tidak",R116&lt;&gt;""),"PERIKSA: tanpa teks lengkap, kosongkan kolom evaluasi. ",""))</f>
        <v/>
      </c>
      <c r="AC116" t="inlineStr">
        <is>
          <t>include</t>
        </is>
      </c>
    </row>
    <row r="117" ht="202.5" customHeight="1" s="21">
      <c r="A117" s="8" t="inlineStr">
        <is>
          <t>peiran-2026-docs-descriptions-smell-aware-evaluation</t>
        </is>
      </c>
      <c r="B117" s="8" t="inlineStr">
        <is>
          <t>From Docs to Descriptions: Smell-Aware Evaluation of MCP Server Descriptions</t>
        </is>
      </c>
      <c r="C117" s="8" t="n">
        <v>2026</v>
      </c>
      <c r="D117" s="8" t="inlineStr">
        <is>
          <t>E2</t>
        </is>
      </c>
      <c r="E117" s="8" t="inlineStr">
        <is>
          <t>scan_cepat</t>
        </is>
      </c>
      <c r="F117" s="8" t="inlineStr">
        <is>
          <t>none</t>
        </is>
      </c>
      <c r="G117" s="9" t="inlineStr">
        <is>
          <t>https://arxiv.org/abs/2602.18914</t>
        </is>
      </c>
      <c r="H117" s="10" t="n"/>
      <c r="I117" s="10" t="inlineStr">
        <is>
          <t>benchmark_measurement</t>
        </is>
      </c>
      <c r="J117" s="10" t="n"/>
      <c r="K117" s="10" t="n"/>
      <c r="L117" s="10" t="n"/>
      <c r="M117" s="10" t="n"/>
      <c r="N117" s="10" t="n"/>
      <c r="O117" s="10" t="n"/>
      <c r="P117" s="10" t="n"/>
      <c r="Q117" s="10" t="n"/>
      <c r="R117" s="10" t="n"/>
      <c r="S117" s="10" t="n"/>
      <c r="T117" s="10" t="n"/>
      <c r="U117" s="10" t="n"/>
      <c r="V117" s="10" t="n"/>
      <c r="W117" s="10" t="n"/>
      <c r="X117" s="10" t="n"/>
      <c r="Y117" s="10" t="n"/>
      <c r="Z117" s="10" t="inlineStr">
        <is>
          <t>Studi evaluasi empiris kualitas deskripsi tool (description smells) pada 10.831 server MCP dan pengaruhnya terhadap seleksi model.</t>
        </is>
      </c>
      <c r="AA117" s="11">
        <f>IF(I117="","",IF(OR(I117="attack",I117="survey_review",I117="benchmark_measurement",I117="position_other",I117="not_defense"),"n/a",IF(OR(X117="spec_normatif",X117="produksi_bukti_publik"),"L3",IF(ISNUMBER(SEARCH("independent",R117)),"L2",IF(R117="author_run","L1",IF(R117="none","L0",""))))))</f>
        <v/>
      </c>
      <c r="AB117" s="11">
        <f>IF(I117="","",IF(AND(K117="deterministic_policy",M117="ya"),"PERIKSA: deterministic_policy tetapi LLM/ML ada dalam keputusan. ","")&amp;IF(AND(U117="ya",V117=""),"PERIKSA: adaptif=ya wajib ada kutipan. ","")&amp;IF(AND(R117="none",U117&lt;&gt;"n/a_tanpa_evaluasi",U117&lt;&gt;""),"PERIKSA: tanpa evaluasi, adaptif harus n/a. ","")&amp;IF(AND(OR(R117="author_run",R117="author_run+independent",R117="independent_only"),Q117=""),"PERIKSA: isi kelas_dievaluasi. ","")&amp;IF(AND(OR(R117="author_run",R117="author_run+independent",R117="independent_only"),W117=""),"PERIKSA: isi lokasi_bukti. ","")&amp;IF(AND(H117="tidak",R117&lt;&gt;""),"PERIKSA: tanpa teks lengkap, kosongkan kolom evaluasi. ",""))</f>
        <v/>
      </c>
      <c r="AC117" t="inlineStr">
        <is>
          <t>include</t>
        </is>
      </c>
    </row>
    <row r="118" ht="180" customHeight="1" s="21">
      <c r="A118" s="8" t="inlineStr">
        <is>
          <t>ping-2025-automatic-red-teaming-llm-based</t>
        </is>
      </c>
      <c r="B118" s="8" t="inlineStr">
        <is>
          <t>Automatic Red Teaming LLM-based Agents with Model Context Protocol Tools</t>
        </is>
      </c>
      <c r="C118" s="8" t="n">
        <v>2025</v>
      </c>
      <c r="D118" s="8" t="inlineStr">
        <is>
          <t>E1</t>
        </is>
      </c>
      <c r="E118" s="8" t="inlineStr">
        <is>
          <t>scan_cepat</t>
        </is>
      </c>
      <c r="F118" s="8" t="inlineStr">
        <is>
          <t>none</t>
        </is>
      </c>
      <c r="G118" s="9" t="inlineStr">
        <is>
          <t>https://arxiv.org/abs/2509.21011</t>
        </is>
      </c>
      <c r="H118" s="10" t="n"/>
      <c r="I118" s="10" t="inlineStr">
        <is>
          <t>attack</t>
        </is>
      </c>
      <c r="J118" s="10" t="n"/>
      <c r="K118" s="10" t="n"/>
      <c r="L118" s="10" t="n"/>
      <c r="M118" s="10" t="n"/>
      <c r="N118" s="10" t="n"/>
      <c r="O118" s="10" t="n"/>
      <c r="P118" s="10" t="n"/>
      <c r="Q118" s="10" t="n"/>
      <c r="R118" s="10" t="n"/>
      <c r="S118" s="10" t="n"/>
      <c r="T118" s="10" t="n"/>
      <c r="U118" s="10" t="n"/>
      <c r="V118" s="10" t="n"/>
      <c r="W118" s="10" t="n"/>
      <c r="X118" s="10" t="n"/>
      <c r="Y118" s="10" t="n"/>
      <c r="Z118" s="10" t="inlineStr">
        <is>
          <t>Kerangka kerja red-teaming otomatis (AutoMalTool) untuk menghasilkan tool MCP berbahaya guna memanipulasi agen LLM.</t>
        </is>
      </c>
      <c r="AA118" s="11">
        <f>IF(I118="","",IF(OR(I118="attack",I118="survey_review",I118="benchmark_measurement",I118="position_other",I118="not_defense"),"n/a",IF(OR(X118="spec_normatif",X118="produksi_bukti_publik"),"L3",IF(ISNUMBER(SEARCH("independent",R118)),"L2",IF(R118="author_run","L1",IF(R118="none","L0",""))))))</f>
        <v/>
      </c>
      <c r="AB118" s="11">
        <f>IF(I118="","",IF(AND(K118="deterministic_policy",M118="ya"),"PERIKSA: deterministic_policy tetapi LLM/ML ada dalam keputusan. ","")&amp;IF(AND(U118="ya",V118=""),"PERIKSA: adaptif=ya wajib ada kutipan. ","")&amp;IF(AND(R118="none",U118&lt;&gt;"n/a_tanpa_evaluasi",U118&lt;&gt;""),"PERIKSA: tanpa evaluasi, adaptif harus n/a. ","")&amp;IF(AND(OR(R118="author_run",R118="author_run+independent",R118="independent_only"),Q118=""),"PERIKSA: isi kelas_dievaluasi. ","")&amp;IF(AND(OR(R118="author_run",R118="author_run+independent",R118="independent_only"),W118=""),"PERIKSA: isi lokasi_bukti. ","")&amp;IF(AND(H118="tidak",R118&lt;&gt;""),"PERIKSA: tanpa teks lengkap, kosongkan kolom evaluasi. ",""))</f>
        <v/>
      </c>
      <c r="AC118" t="inlineStr">
        <is>
          <t>include</t>
        </is>
      </c>
    </row>
    <row r="119" ht="191.25" customHeight="1" s="21">
      <c r="A119" s="8" t="inlineStr">
        <is>
          <t>pratyay-2026-mcp-sos-risk-assessment-framework</t>
        </is>
      </c>
      <c r="B119" s="8" t="inlineStr">
        <is>
          <t>MCP-in-SoS: Risk assessment framework for open-source MCP servers</t>
        </is>
      </c>
      <c r="C119" s="8" t="n">
        <v>2026</v>
      </c>
      <c r="D119" s="8" t="inlineStr">
        <is>
          <t>E2</t>
        </is>
      </c>
      <c r="E119" s="8" t="inlineStr">
        <is>
          <t>scan_cepat</t>
        </is>
      </c>
      <c r="F119" s="8" t="inlineStr">
        <is>
          <t>none</t>
        </is>
      </c>
      <c r="G119" s="9" t="inlineStr">
        <is>
          <t>https://arxiv.org/abs/2603.10194</t>
        </is>
      </c>
      <c r="H119" s="10" t="n"/>
      <c r="I119" s="10" t="inlineStr">
        <is>
          <t>position_other</t>
        </is>
      </c>
      <c r="J119" s="10" t="n"/>
      <c r="K119" s="10" t="n"/>
      <c r="L119" s="10" t="n"/>
      <c r="M119" s="10" t="n"/>
      <c r="N119" s="10" t="n"/>
      <c r="O119" s="10" t="n"/>
      <c r="P119" s="10" t="n"/>
      <c r="Q119" s="10" t="n"/>
      <c r="R119" s="10" t="n"/>
      <c r="S119" s="10" t="n"/>
      <c r="T119" s="10" t="n"/>
      <c r="U119" s="10" t="n"/>
      <c r="V119" s="10" t="n"/>
      <c r="W119" s="10" t="n"/>
      <c r="X119" s="10" t="n"/>
      <c r="Y119" s="10" t="n"/>
      <c r="Z119" s="10" t="inlineStr">
        <is>
          <t>Kerangka kerja penilaian risiko konseptual (risk assessment framework) berbasis pemetaan CWE dan CAPEC pada server MCP.</t>
        </is>
      </c>
      <c r="AA119" s="11">
        <f>IF(I119="","",IF(OR(I119="attack",I119="survey_review",I119="benchmark_measurement",I119="position_other",I119="not_defense"),"n/a",IF(OR(X119="spec_normatif",X119="produksi_bukti_publik"),"L3",IF(ISNUMBER(SEARCH("independent",R119)),"L2",IF(R119="author_run","L1",IF(R119="none","L0",""))))))</f>
        <v/>
      </c>
      <c r="AB119" s="11">
        <f>IF(I119="","",IF(AND(K119="deterministic_policy",M119="ya"),"PERIKSA: deterministic_policy tetapi LLM/ML ada dalam keputusan. ","")&amp;IF(AND(U119="ya",V119=""),"PERIKSA: adaptif=ya wajib ada kutipan. ","")&amp;IF(AND(R119="none",U119&lt;&gt;"n/a_tanpa_evaluasi",U119&lt;&gt;""),"PERIKSA: tanpa evaluasi, adaptif harus n/a. ","")&amp;IF(AND(OR(R119="author_run",R119="author_run+independent",R119="independent_only"),Q119=""),"PERIKSA: isi kelas_dievaluasi. ","")&amp;IF(AND(OR(R119="author_run",R119="author_run+independent",R119="independent_only"),W119=""),"PERIKSA: isi lokasi_bukti. ","")&amp;IF(AND(H119="tidak",R119&lt;&gt;""),"PERIKSA: tanpa teks lengkap, kosongkan kolom evaluasi. ",""))</f>
        <v/>
      </c>
      <c r="AC119" t="inlineStr">
        <is>
          <t>include</t>
        </is>
      </c>
    </row>
    <row r="120" ht="213.75" customHeight="1" s="21">
      <c r="A120" s="8" t="inlineStr">
        <is>
          <t>rabimba-2026-when-agents-act-web3-attack</t>
        </is>
      </c>
      <c r="B120" s="8" t="inlineStr">
        <is>
          <t>When Agents Act on Web3: An Attack-Surface Survey of MCP, Skills, and Tool Calling</t>
        </is>
      </c>
      <c r="C120" s="8" t="n">
        <v>2026</v>
      </c>
      <c r="D120" s="8" t="inlineStr">
        <is>
          <t>E2</t>
        </is>
      </c>
      <c r="E120" s="8" t="inlineStr">
        <is>
          <t>scan_cepat</t>
        </is>
      </c>
      <c r="F120" s="8" t="inlineStr">
        <is>
          <t>none</t>
        </is>
      </c>
      <c r="G120" s="9" t="inlineStr">
        <is>
          <t>https://arxiv.org/abs/2608.17275</t>
        </is>
      </c>
      <c r="H120" s="10" t="n"/>
      <c r="I120" s="10" t="inlineStr">
        <is>
          <t>survey_review</t>
        </is>
      </c>
      <c r="J120" s="10" t="n"/>
      <c r="K120" s="10" t="n"/>
      <c r="L120" s="10" t="n"/>
      <c r="M120" s="10" t="n"/>
      <c r="N120" s="10" t="n"/>
      <c r="O120" s="10" t="n"/>
      <c r="P120" s="10" t="n"/>
      <c r="Q120" s="10" t="n"/>
      <c r="R120" s="10" t="n"/>
      <c r="S120" s="10" t="n"/>
      <c r="T120" s="10" t="n"/>
      <c r="U120" s="10" t="n"/>
      <c r="V120" s="10" t="n"/>
      <c r="W120" s="10" t="n"/>
      <c r="X120" s="10" t="n"/>
      <c r="Y120" s="10" t="n"/>
      <c r="Z120" s="10" t="inlineStr">
        <is>
          <t>Survei lanskap ancaman dan tinjauan taksonomi permukaan serangan integrasi agen MCP pada lingkungan terdesentralisasi/Web3.</t>
        </is>
      </c>
      <c r="AA120" s="11">
        <f>IF(I120="","",IF(OR(I120="attack",I120="survey_review",I120="benchmark_measurement",I120="position_other",I120="not_defense"),"n/a",IF(OR(X120="spec_normatif",X120="produksi_bukti_publik"),"L3",IF(ISNUMBER(SEARCH("independent",R120)),"L2",IF(R120="author_run","L1",IF(R120="none","L0",""))))))</f>
        <v/>
      </c>
      <c r="AB120" s="11">
        <f>IF(I120="","",IF(AND(K120="deterministic_policy",M120="ya"),"PERIKSA: deterministic_policy tetapi LLM/ML ada dalam keputusan. ","")&amp;IF(AND(U120="ya",V120=""),"PERIKSA: adaptif=ya wajib ada kutipan. ","")&amp;IF(AND(R120="none",U120&lt;&gt;"n/a_tanpa_evaluasi",U120&lt;&gt;""),"PERIKSA: tanpa evaluasi, adaptif harus n/a. ","")&amp;IF(AND(OR(R120="author_run",R120="author_run+independent",R120="independent_only"),Q120=""),"PERIKSA: isi kelas_dievaluasi. ","")&amp;IF(AND(OR(R120="author_run",R120="author_run+independent",R120="independent_only"),W120=""),"PERIKSA: isi lokasi_bukti. ","")&amp;IF(AND(H120="tidak",R120&lt;&gt;""),"PERIKSA: tanpa teks lengkap, kosongkan kolom evaluasi. ",""))</f>
        <v/>
      </c>
      <c r="AC120" t="inlineStr">
        <is>
          <t>include</t>
        </is>
      </c>
    </row>
    <row r="121" ht="180" customHeight="1" s="21">
      <c r="A121" s="8" t="inlineStr">
        <is>
          <t>ruiqi-2026-mcp-itp-automated-framework-implicit</t>
        </is>
      </c>
      <c r="B121" s="8" t="inlineStr">
        <is>
          <t>MCP-ITP: An Automated Framework for Implicit Tool Poisoning in MCP</t>
        </is>
      </c>
      <c r="C121" s="8" t="n">
        <v>2026</v>
      </c>
      <c r="D121" s="8" t="inlineStr">
        <is>
          <t>E2</t>
        </is>
      </c>
      <c r="E121" s="8" t="inlineStr">
        <is>
          <t>scan_cepat</t>
        </is>
      </c>
      <c r="F121" s="8" t="inlineStr">
        <is>
          <t>none</t>
        </is>
      </c>
      <c r="G121" s="9" t="inlineStr">
        <is>
          <t>https://arxiv.org/abs/2601.07395</t>
        </is>
      </c>
      <c r="H121" s="10" t="n"/>
      <c r="I121" s="10" t="inlineStr">
        <is>
          <t>attack</t>
        </is>
      </c>
      <c r="J121" s="10" t="n"/>
      <c r="K121" s="10" t="n"/>
      <c r="L121" s="10" t="n"/>
      <c r="M121" s="10" t="n"/>
      <c r="N121" s="10" t="n"/>
      <c r="O121" s="10" t="n"/>
      <c r="P121" s="10" t="n"/>
      <c r="Q121" s="10" t="n"/>
      <c r="R121" s="10" t="n"/>
      <c r="S121" s="10" t="n"/>
      <c r="T121" s="10" t="n"/>
      <c r="U121" s="10" t="n"/>
      <c r="V121" s="10" t="n"/>
      <c r="W121" s="10" t="n"/>
      <c r="X121" s="10" t="n"/>
      <c r="Y121" s="10" t="n"/>
      <c r="Z121" s="10" t="inlineStr">
        <is>
          <t>Kerangka serangan tool poisoning implisit otomatis (MCP-ITP) untuk memanipulasi pemanggilan tool tanpa mitigasi yang diuji.</t>
        </is>
      </c>
      <c r="AA121" s="11">
        <f>IF(I121="","",IF(OR(I121="attack",I121="survey_review",I121="benchmark_measurement",I121="position_other",I121="not_defense"),"n/a",IF(OR(X121="spec_normatif",X121="produksi_bukti_publik"),"L3",IF(ISNUMBER(SEARCH("independent",R121)),"L2",IF(R121="author_run","L1",IF(R121="none","L0",""))))))</f>
        <v/>
      </c>
      <c r="AB121" s="11">
        <f>IF(I121="","",IF(AND(K121="deterministic_policy",M121="ya"),"PERIKSA: deterministic_policy tetapi LLM/ML ada dalam keputusan. ","")&amp;IF(AND(U121="ya",V121=""),"PERIKSA: adaptif=ya wajib ada kutipan. ","")&amp;IF(AND(R121="none",U121&lt;&gt;"n/a_tanpa_evaluasi",U121&lt;&gt;""),"PERIKSA: tanpa evaluasi, adaptif harus n/a. ","")&amp;IF(AND(OR(R121="author_run",R121="author_run+independent",R121="independent_only"),Q121=""),"PERIKSA: isi kelas_dievaluasi. ","")&amp;IF(AND(OR(R121="author_run",R121="author_run+independent",R121="independent_only"),W121=""),"PERIKSA: isi lokasi_bukti. ","")&amp;IF(AND(H121="tidak",R121&lt;&gt;""),"PERIKSA: tanpa teks lengkap, kosongkan kolom evaluasi. ",""))</f>
        <v/>
      </c>
      <c r="AC121" t="inlineStr">
        <is>
          <t>include</t>
        </is>
      </c>
    </row>
    <row r="122" ht="202.5" customHeight="1" s="21">
      <c r="A122" s="8" t="inlineStr">
        <is>
          <t>run-2026-mcp-pitfall-lab-exposing-developer</t>
        </is>
      </c>
      <c r="B122" s="8" t="inlineStr">
        <is>
          <t>MCP Pitfall Lab: Exposing Developer Pitfalls in MCP Tool Server Security under Multi-Vector Attacks</t>
        </is>
      </c>
      <c r="C122" s="8" t="n">
        <v>2026</v>
      </c>
      <c r="D122" s="8" t="inlineStr">
        <is>
          <t>E2</t>
        </is>
      </c>
      <c r="E122" s="8" t="inlineStr">
        <is>
          <t>scan_cepat</t>
        </is>
      </c>
      <c r="F122" s="8" t="inlineStr">
        <is>
          <t>none</t>
        </is>
      </c>
      <c r="G122" s="9" t="inlineStr">
        <is>
          <t>https://arxiv.org/abs/2604.21477</t>
        </is>
      </c>
      <c r="H122" s="10" t="n"/>
      <c r="I122" s="10" t="inlineStr">
        <is>
          <t>benchmark_measurement</t>
        </is>
      </c>
      <c r="J122" s="10" t="n"/>
      <c r="K122" s="10" t="n"/>
      <c r="L122" s="10" t="n"/>
      <c r="M122" s="10" t="n"/>
      <c r="N122" s="10" t="n"/>
      <c r="O122" s="10" t="n"/>
      <c r="P122" s="10" t="n"/>
      <c r="Q122" s="10" t="n"/>
      <c r="R122" s="10" t="n"/>
      <c r="S122" s="10" t="n"/>
      <c r="T122" s="10" t="n"/>
      <c r="U122" s="10" t="n"/>
      <c r="V122" s="10" t="n"/>
      <c r="W122" s="10" t="n"/>
      <c r="X122" s="10" t="n"/>
      <c r="Y122" s="10" t="n"/>
      <c r="Z122" s="10" t="inlineStr">
        <is>
          <t>Kerangka pengujian keamanan dan tolok ukur (Pitfall Lab &amp; MCP-BOM) untuk mengevaluasi kerentanan implementasi server tool MCP.</t>
        </is>
      </c>
      <c r="AA122" s="11">
        <f>IF(I122="","",IF(OR(I122="attack",I122="survey_review",I122="benchmark_measurement",I122="position_other",I122="not_defense"),"n/a",IF(OR(X122="spec_normatif",X122="produksi_bukti_publik"),"L3",IF(ISNUMBER(SEARCH("independent",R122)),"L2",IF(R122="author_run","L1",IF(R122="none","L0",""))))))</f>
        <v/>
      </c>
      <c r="AB122" s="11">
        <f>IF(I122="","",IF(AND(K122="deterministic_policy",M122="ya"),"PERIKSA: deterministic_policy tetapi LLM/ML ada dalam keputusan. ","")&amp;IF(AND(U122="ya",V122=""),"PERIKSA: adaptif=ya wajib ada kutipan. ","")&amp;IF(AND(R122="none",U122&lt;&gt;"n/a_tanpa_evaluasi",U122&lt;&gt;""),"PERIKSA: tanpa evaluasi, adaptif harus n/a. ","")&amp;IF(AND(OR(R122="author_run",R122="author_run+independent",R122="independent_only"),Q122=""),"PERIKSA: isi kelas_dievaluasi. ","")&amp;IF(AND(OR(R122="author_run",R122="author_run+independent",R122="independent_only"),W122=""),"PERIKSA: isi lokasi_bukti. ","")&amp;IF(AND(H122="tidak",R122&lt;&gt;""),"PERIKSA: tanpa teks lengkap, kosongkan kolom evaluasi. ",""))</f>
        <v/>
      </c>
      <c r="AC122" t="inlineStr">
        <is>
          <t>include</t>
        </is>
      </c>
    </row>
    <row r="123" ht="180" customHeight="1" s="21">
      <c r="A123" s="8" t="inlineStr">
        <is>
          <t>rushabh-2026-pentestchain-cost-aware-mcp-orchestrated</t>
        </is>
      </c>
      <c r="B123" s="8" t="inlineStr">
        <is>
          <t>PentestChain: A Cost-Aware, MCP-Orchestrated Framework for Automated Penetration Testing with Free-Tier LLMs</t>
        </is>
      </c>
      <c r="C123" s="8" t="n">
        <v>2026</v>
      </c>
      <c r="D123" s="8" t="inlineStr">
        <is>
          <t>E2</t>
        </is>
      </c>
      <c r="E123" s="8" t="inlineStr">
        <is>
          <t>scan_cepat</t>
        </is>
      </c>
      <c r="F123" s="8" t="inlineStr">
        <is>
          <t>none</t>
        </is>
      </c>
      <c r="G123" s="9" t="inlineStr">
        <is>
          <t>https://arxiv.org/abs/2609.18120</t>
        </is>
      </c>
      <c r="H123" s="10" t="n"/>
      <c r="I123" s="10" t="inlineStr">
        <is>
          <t>attack</t>
        </is>
      </c>
      <c r="J123" s="10" t="n"/>
      <c r="K123" s="10" t="n"/>
      <c r="L123" s="10" t="n"/>
      <c r="M123" s="10" t="n"/>
      <c r="N123" s="10" t="n"/>
      <c r="O123" s="10" t="n"/>
      <c r="P123" s="10" t="n"/>
      <c r="Q123" s="10" t="n"/>
      <c r="R123" s="10" t="n"/>
      <c r="S123" s="10" t="n"/>
      <c r="T123" s="10" t="n"/>
      <c r="U123" s="10" t="n"/>
      <c r="V123" s="10" t="n"/>
      <c r="W123" s="10" t="n"/>
      <c r="X123" s="10" t="n"/>
      <c r="Y123" s="10" t="n"/>
      <c r="Z123" s="10" t="inlineStr">
        <is>
          <t>Framework otomatisasi uji penetrasi ofensif (penetration testing) yang diorkestrasi menggunakan server MCP.</t>
        </is>
      </c>
      <c r="AA123" s="11">
        <f>IF(I123="","",IF(OR(I123="attack",I123="survey_review",I123="benchmark_measurement",I123="position_other",I123="not_defense"),"n/a",IF(OR(X123="spec_normatif",X123="produksi_bukti_publik"),"L3",IF(ISNUMBER(SEARCH("independent",R123)),"L2",IF(R123="author_run","L1",IF(R123="none","L0",""))))))</f>
        <v/>
      </c>
      <c r="AB123" s="11">
        <f>IF(I123="","",IF(AND(K123="deterministic_policy",M123="ya"),"PERIKSA: deterministic_policy tetapi LLM/ML ada dalam keputusan. ","")&amp;IF(AND(U123="ya",V123=""),"PERIKSA: adaptif=ya wajib ada kutipan. ","")&amp;IF(AND(R123="none",U123&lt;&gt;"n/a_tanpa_evaluasi",U123&lt;&gt;""),"PERIKSA: tanpa evaluasi, adaptif harus n/a. ","")&amp;IF(AND(OR(R123="author_run",R123="author_run+independent",R123="independent_only"),Q123=""),"PERIKSA: isi kelas_dievaluasi. ","")&amp;IF(AND(OR(R123="author_run",R123="author_run+independent",R123="independent_only"),W123=""),"PERIKSA: isi lokasi_bukti. ","")&amp;IF(AND(H123="tidak",R123&lt;&gt;""),"PERIKSA: tanpa teks lengkap, kosongkan kolom evaluasi. ",""))</f>
        <v/>
      </c>
      <c r="AC123" t="inlineStr">
        <is>
          <t>include</t>
        </is>
      </c>
    </row>
    <row r="124" ht="325.5" customHeight="1" s="21">
      <c r="A124" s="8" t="inlineStr">
        <is>
          <t>saeid-2026-game-theoretic-multi-agent-control</t>
        </is>
      </c>
      <c r="B124" s="8" t="inlineStr">
        <is>
          <t>Game-Theoretic Multi-Agent Control for Robust Contextual Reasoning in LLMs</t>
        </is>
      </c>
      <c r="C124" s="8" t="n">
        <v>2026</v>
      </c>
      <c r="D124" s="8" t="inlineStr">
        <is>
          <t>E2</t>
        </is>
      </c>
      <c r="E124" s="8" t="inlineStr">
        <is>
          <t>scan_cepat</t>
        </is>
      </c>
      <c r="F124" s="8" t="inlineStr">
        <is>
          <t>none</t>
        </is>
      </c>
      <c r="G124" s="9" t="inlineStr">
        <is>
          <t>https://arxiv.org/abs/2606.10322</t>
        </is>
      </c>
      <c r="H124" s="10" t="inlineStr">
        <is>
          <t>ya</t>
        </is>
      </c>
      <c r="I124" s="10" t="inlineStr">
        <is>
          <t>defense_primary</t>
        </is>
      </c>
      <c r="J124" s="10" t="inlineStr">
        <is>
          <t>GT-MCP</t>
        </is>
      </c>
      <c r="K124" s="10" t="inlineStr">
        <is>
          <t>content_inspection_runtime</t>
        </is>
      </c>
      <c r="L124" s="10" t="inlineStr">
        <is>
          <t>Kontroler multi-agen berbasis teori permainan yang memvalidasi graf kausal, mengagregasi skor kepercayaan, dan menerapkan pemulihan konteks (rollback) terhadap manipulasi konteks multi-turn.</t>
        </is>
      </c>
      <c r="M124" s="10" t="inlineStr">
        <is>
          <t>ya</t>
        </is>
      </c>
      <c r="N124" s="10" t="inlineStr">
        <is>
          <t>H</t>
        </is>
      </c>
      <c r="O124" s="10" t="inlineStr">
        <is>
          <t>R2;R6</t>
        </is>
      </c>
      <c r="P124" s="10" t="inlineStr">
        <is>
          <t>A2;D2</t>
        </is>
      </c>
      <c r="Q124" s="10" t="inlineStr">
        <is>
          <t>A2;D2</t>
        </is>
      </c>
      <c r="R124" s="10" t="inlineStr">
        <is>
          <t>author_run</t>
        </is>
      </c>
      <c r="S124" s="10" t="n"/>
      <c r="T124" s="10" t="inlineStr">
        <is>
          <t>authors_own</t>
        </is>
      </c>
      <c r="U124" s="10" t="inlineStr">
        <is>
          <t>tidak</t>
        </is>
      </c>
      <c r="V124" s="10" t="n"/>
      <c r="W124" s="10" t="inlineStr">
        <is>
          <t>Sec. V, Tables VII-XIII, Fig. 2-6</t>
        </is>
      </c>
      <c r="X124" s="10" t="inlineStr">
        <is>
          <t>none</t>
        </is>
      </c>
      <c r="Y124" s="10" t="inlineStr">
        <is>
          <t>dilaporkan: profil utilitas dan latensi pemilihan kandidat agen (Tabel XI &amp; XII)</t>
        </is>
      </c>
      <c r="Z124" s="10" t="inlineStr">
        <is>
          <t>Kerangka kerja GT-MCP untuk kontrol konteks multi-turn berbasis teori permainan dan agregasi kepercayaan multi-agen.</t>
        </is>
      </c>
      <c r="AA124" s="11">
        <f>IF(I124="","",IF(OR(I124="attack",I124="survey_review",I124="benchmark_measurement",I124="position_other",I124="not_defense"),"n/a",IF(OR(X124="spec_normatif",X124="produksi_bukti_publik"),"L3",IF(ISNUMBER(SEARCH("independent",R124)),"L2",IF(R124="author_run","L1",IF(R124="none","L0",""))))))</f>
        <v/>
      </c>
      <c r="AB124" s="11">
        <f>IF(I124="","",IF(AND(K124="deterministic_policy",M124="ya"),"PERIKSA: deterministic_policy tetapi LLM/ML ada dalam keputusan. ","")&amp;IF(AND(U124="ya",V124=""),"PERIKSA: adaptif=ya wajib ada kutipan. ","")&amp;IF(AND(R124="none",U124&lt;&gt;"n/a_tanpa_evaluasi",U124&lt;&gt;""),"PERIKSA: tanpa evaluasi, adaptif harus n/a. ","")&amp;IF(AND(OR(R124="author_run",R124="author_run+independent",R124="independent_only"),Q124=""),"PERIKSA: isi kelas_dievaluasi. ","")&amp;IF(AND(OR(R124="author_run",R124="author_run+independent",R124="independent_only"),W124=""),"PERIKSA: isi lokasi_bukti. ","")&amp;IF(AND(H124="tidak",R124&lt;&gt;""),"PERIKSA: tanpa teks lengkap, kosongkan kolom evaluasi. ",""))</f>
        <v/>
      </c>
      <c r="AC124" t="inlineStr">
        <is>
          <t>include</t>
        </is>
      </c>
    </row>
    <row r="125" ht="180" customHeight="1" s="21">
      <c r="A125" s="8" t="inlineStr">
        <is>
          <t>shiva-2025-systematization-knowledge-security-safety-model</t>
        </is>
      </c>
      <c r="B125" s="8" t="inlineStr">
        <is>
          <t>Systematization of Knowledge: Security and Safety in the Model Context Protocol Ecosystem</t>
        </is>
      </c>
      <c r="C125" s="8" t="n">
        <v>2025</v>
      </c>
      <c r="D125" s="8" t="inlineStr">
        <is>
          <t>E1</t>
        </is>
      </c>
      <c r="E125" s="8" t="inlineStr">
        <is>
          <t>scan_cepat</t>
        </is>
      </c>
      <c r="F125" s="8" t="inlineStr">
        <is>
          <t>none</t>
        </is>
      </c>
      <c r="G125" s="9" t="inlineStr">
        <is>
          <t>https://arxiv.org/abs/2512.08290</t>
        </is>
      </c>
      <c r="H125" s="10" t="n"/>
      <c r="I125" s="10" t="inlineStr">
        <is>
          <t>survey_review</t>
        </is>
      </c>
      <c r="J125" s="10" t="n"/>
      <c r="K125" s="10" t="n"/>
      <c r="L125" s="10" t="n"/>
      <c r="M125" s="10" t="n"/>
      <c r="N125" s="10" t="n"/>
      <c r="O125" s="10" t="n"/>
      <c r="P125" s="10" t="n"/>
      <c r="Q125" s="10" t="n"/>
      <c r="R125" s="10" t="n"/>
      <c r="S125" s="10" t="n"/>
      <c r="T125" s="10" t="n"/>
      <c r="U125" s="10" t="n"/>
      <c r="V125" s="10" t="n"/>
      <c r="W125" s="10" t="n"/>
      <c r="X125" s="10" t="n"/>
      <c r="Y125" s="10" t="n"/>
      <c r="Z125" s="10" t="inlineStr">
        <is>
          <t>Telaah sistematis komprehensif / Systematization of Knowledge (SoK) mengenai taksonomi risiko keamanan dan keselamatan pada MCP.</t>
        </is>
      </c>
      <c r="AA125" s="11">
        <f>IF(I125="","",IF(OR(I125="attack",I125="survey_review",I125="benchmark_measurement",I125="position_other",I125="not_defense"),"n/a",IF(OR(X125="spec_normatif",X125="produksi_bukti_publik"),"L3",IF(ISNUMBER(SEARCH("independent",R125)),"L2",IF(R125="author_run","L1",IF(R125="none","L0",""))))))</f>
        <v/>
      </c>
      <c r="AB125" s="11">
        <f>IF(I125="","",IF(AND(K125="deterministic_policy",M125="ya"),"PERIKSA: deterministic_policy tetapi LLM/ML ada dalam keputusan. ","")&amp;IF(AND(U125="ya",V125=""),"PERIKSA: adaptif=ya wajib ada kutipan. ","")&amp;IF(AND(R125="none",U125&lt;&gt;"n/a_tanpa_evaluasi",U125&lt;&gt;""),"PERIKSA: tanpa evaluasi, adaptif harus n/a. ","")&amp;IF(AND(OR(R125="author_run",R125="author_run+independent",R125="independent_only"),Q125=""),"PERIKSA: isi kelas_dievaluasi. ","")&amp;IF(AND(OR(R125="author_run",R125="author_run+independent",R125="independent_only"),W125=""),"PERIKSA: isi lokasi_bukti. ","")&amp;IF(AND(H125="tidak",R125&lt;&gt;""),"PERIKSA: tanpa teks lengkap, kosongkan kolom evaluasi. ",""))</f>
        <v/>
      </c>
      <c r="AC125" t="inlineStr">
        <is>
          <t>include</t>
        </is>
      </c>
    </row>
    <row r="126" ht="168.75" customHeight="1" s="21">
      <c r="A126" s="8" t="inlineStr">
        <is>
          <t>shuli-2025-parasites-toolchain-large-scale-analysis</t>
        </is>
      </c>
      <c r="B126" s="8" t="inlineStr">
        <is>
          <t>Parasites in the Toolchain: A Large-Scale Analysis of Attacks on the MCP Ecosystem</t>
        </is>
      </c>
      <c r="C126" s="8" t="n">
        <v>2025</v>
      </c>
      <c r="D126" s="8" t="inlineStr">
        <is>
          <t>E1</t>
        </is>
      </c>
      <c r="E126" s="8" t="inlineStr">
        <is>
          <t>scan_cepat</t>
        </is>
      </c>
      <c r="F126" s="8" t="inlineStr">
        <is>
          <t>none</t>
        </is>
      </c>
      <c r="G126" s="9" t="inlineStr">
        <is>
          <t>https://arxiv.org/abs/2509.06572</t>
        </is>
      </c>
      <c r="H126" s="10" t="n"/>
      <c r="I126" s="10" t="inlineStr">
        <is>
          <t>attack</t>
        </is>
      </c>
      <c r="J126" s="10" t="n"/>
      <c r="K126" s="10" t="n"/>
      <c r="L126" s="10" t="n"/>
      <c r="M126" s="10" t="n"/>
      <c r="N126" s="10" t="n"/>
      <c r="O126" s="10" t="n"/>
      <c r="P126" s="10" t="n"/>
      <c r="Q126" s="10" t="n"/>
      <c r="R126" s="10" t="n"/>
      <c r="S126" s="10" t="n"/>
      <c r="T126" s="10" t="n"/>
      <c r="U126" s="10" t="n"/>
      <c r="V126" s="10" t="n"/>
      <c r="W126" s="10" t="n"/>
      <c r="X126" s="10" t="n"/>
      <c r="Y126" s="10" t="n"/>
      <c r="Z126" s="10" t="inlineStr">
        <is>
          <t>Identifikasi teknik serangan baru Parasitic Toolchain Attack (MCP-UPD) dan analisis eksploitasi rantai tool pada ekosistem MCP.</t>
        </is>
      </c>
      <c r="AA126" s="11">
        <f>IF(I126="","",IF(OR(I126="attack",I126="survey_review",I126="benchmark_measurement",I126="position_other",I126="not_defense"),"n/a",IF(OR(X126="spec_normatif",X126="produksi_bukti_publik"),"L3",IF(ISNUMBER(SEARCH("independent",R126)),"L2",IF(R126="author_run","L1",IF(R126="none","L0",""))))))</f>
        <v/>
      </c>
      <c r="AB126" s="11">
        <f>IF(I126="","",IF(AND(K126="deterministic_policy",M126="ya"),"PERIKSA: deterministic_policy tetapi LLM/ML ada dalam keputusan. ","")&amp;IF(AND(U126="ya",V126=""),"PERIKSA: adaptif=ya wajib ada kutipan. ","")&amp;IF(AND(R126="none",U126&lt;&gt;"n/a_tanpa_evaluasi",U126&lt;&gt;""),"PERIKSA: tanpa evaluasi, adaptif harus n/a. ","")&amp;IF(AND(OR(R126="author_run",R126="author_run+independent",R126="independent_only"),Q126=""),"PERIKSA: isi kelas_dievaluasi. ","")&amp;IF(AND(OR(R126="author_run",R126="author_run+independent",R126="independent_only"),W126=""),"PERIKSA: isi lokasi_bukti. ","")&amp;IF(AND(H126="tidak",R126&lt;&gt;""),"PERIKSA: tanpa teks lengkap, kosongkan kolom evaluasi. ",""))</f>
        <v/>
      </c>
      <c r="AC126" t="inlineStr">
        <is>
          <t>include</t>
        </is>
      </c>
    </row>
    <row r="127" ht="168.75" customHeight="1" s="21">
      <c r="A127" s="8" t="inlineStr">
        <is>
          <t>strahinja-2025-hiding-ai-traffic-abusing-mcp</t>
        </is>
      </c>
      <c r="B127" s="8" t="inlineStr">
        <is>
          <t>Hiding in the AI Traffic: Abusing MCP for LLM-Powered Agentic Red Teaming</t>
        </is>
      </c>
      <c r="C127" s="8" t="n">
        <v>2025</v>
      </c>
      <c r="D127" s="8" t="inlineStr">
        <is>
          <t>E2</t>
        </is>
      </c>
      <c r="E127" s="8" t="inlineStr">
        <is>
          <t>scan_cepat</t>
        </is>
      </c>
      <c r="F127" s="8" t="inlineStr">
        <is>
          <t>none</t>
        </is>
      </c>
      <c r="G127" s="9" t="inlineStr">
        <is>
          <t>https://arxiv.org/abs/2511.15998</t>
        </is>
      </c>
      <c r="H127" s="10" t="n"/>
      <c r="I127" s="10" t="inlineStr">
        <is>
          <t>attack</t>
        </is>
      </c>
      <c r="J127" s="10" t="n"/>
      <c r="K127" s="10" t="n"/>
      <c r="L127" s="10" t="n"/>
      <c r="M127" s="10" t="n"/>
      <c r="N127" s="10" t="n"/>
      <c r="O127" s="10" t="n"/>
      <c r="P127" s="10" t="n"/>
      <c r="Q127" s="10" t="n"/>
      <c r="R127" s="10" t="n"/>
      <c r="S127" s="10" t="n"/>
      <c r="T127" s="10" t="n"/>
      <c r="U127" s="10" t="n"/>
      <c r="V127" s="10" t="n"/>
      <c r="W127" s="10" t="n"/>
      <c r="X127" s="10" t="n"/>
      <c r="Y127" s="10" t="n"/>
      <c r="Z127" s="10" t="inlineStr">
        <is>
          <t>Perancangan arsitektur ofensif Command &amp; Control (C2) yang menyalahgunakan protokol MCP untuk red-teaming siluman.</t>
        </is>
      </c>
      <c r="AA127" s="11">
        <f>IF(I127="","",IF(OR(I127="attack",I127="survey_review",I127="benchmark_measurement",I127="position_other",I127="not_defense"),"n/a",IF(OR(X127="spec_normatif",X127="produksi_bukti_publik"),"L3",IF(ISNUMBER(SEARCH("independent",R127)),"L2",IF(R127="author_run","L1",IF(R127="none","L0",""))))))</f>
        <v/>
      </c>
      <c r="AB127" s="11">
        <f>IF(I127="","",IF(AND(K127="deterministic_policy",M127="ya"),"PERIKSA: deterministic_policy tetapi LLM/ML ada dalam keputusan. ","")&amp;IF(AND(U127="ya",V127=""),"PERIKSA: adaptif=ya wajib ada kutipan. ","")&amp;IF(AND(R127="none",U127&lt;&gt;"n/a_tanpa_evaluasi",U127&lt;&gt;""),"PERIKSA: tanpa evaluasi, adaptif harus n/a. ","")&amp;IF(AND(OR(R127="author_run",R127="author_run+independent",R127="independent_only"),Q127=""),"PERIKSA: isi kelas_dievaluasi. ","")&amp;IF(AND(OR(R127="author_run",R127="author_run+independent",R127="independent_only"),W127=""),"PERIKSA: isi lokasi_bukti. ","")&amp;IF(AND(H127="tidak",R127&lt;&gt;""),"PERIKSA: tanpa teks lengkap, kosongkan kolom evaluasi. ",""))</f>
        <v/>
      </c>
      <c r="AC127" t="inlineStr">
        <is>
          <t>include</t>
        </is>
      </c>
    </row>
    <row r="128" ht="281.25" customHeight="1" s="21">
      <c r="A128" s="8" t="inlineStr">
        <is>
          <t>sunil-2026-aip-agent-identity-protocol-verifiable</t>
        </is>
      </c>
      <c r="B128" s="8" t="inlineStr">
        <is>
          <t>AIP: Agent Identity Protocol for Verifiable Delegation Across MCP and A2A</t>
        </is>
      </c>
      <c r="C128" s="8" t="n">
        <v>2026</v>
      </c>
      <c r="D128" s="8" t="inlineStr">
        <is>
          <t>E2</t>
        </is>
      </c>
      <c r="E128" s="8" t="inlineStr">
        <is>
          <t>scan_cepat</t>
        </is>
      </c>
      <c r="F128" s="8" t="inlineStr">
        <is>
          <t>none</t>
        </is>
      </c>
      <c r="G128" s="9" t="inlineStr">
        <is>
          <t>https://arxiv.org/abs/2603.24775</t>
        </is>
      </c>
      <c r="H128" s="10" t="inlineStr">
        <is>
          <t>ya</t>
        </is>
      </c>
      <c r="I128" s="10" t="inlineStr">
        <is>
          <t>defense_primary</t>
        </is>
      </c>
      <c r="J128" s="10" t="inlineStr">
        <is>
          <t>AIP</t>
        </is>
      </c>
      <c r="K128" s="10" t="inlineStr">
        <is>
          <t>capability_or_token</t>
        </is>
      </c>
      <c r="L128" s="10" t="inlineStr">
        <is>
          <t>Protokol identitas agen (AIP) dengan pendelegasian terverifikasi kunci publik, atenuasi hak akses berbasis pemegang, dan pengikatan transport MCP untuk mencegah peniruan identitas agen.</t>
        </is>
      </c>
      <c r="M128" s="10" t="inlineStr">
        <is>
          <t>tidak</t>
        </is>
      </c>
      <c r="N128" s="10" t="inlineStr">
        <is>
          <t>gateway_proxy</t>
        </is>
      </c>
      <c r="O128" s="10" t="inlineStr">
        <is>
          <t>R1;R3;R4</t>
        </is>
      </c>
      <c r="P128" s="10" t="inlineStr">
        <is>
          <t>C1;C2;C3</t>
        </is>
      </c>
      <c r="Q128" s="10" t="inlineStr">
        <is>
          <t>C1;C2;C3</t>
        </is>
      </c>
      <c r="R128" s="10" t="inlineStr">
        <is>
          <t>author_run</t>
        </is>
      </c>
      <c r="S128" s="10" t="n"/>
      <c r="T128" s="10" t="inlineStr">
        <is>
          <t>authors_own</t>
        </is>
      </c>
      <c r="U128" s="10" t="inlineStr">
        <is>
          <t>tidak</t>
        </is>
      </c>
      <c r="V128" s="10" t="n"/>
      <c r="W128" s="10" t="inlineStr">
        <is>
          <t>Sec. 5, Table 1-3, hal. 11-13</t>
        </is>
      </c>
      <c r="X128" s="10" t="inlineStr">
        <is>
          <t>prototype_open_source</t>
        </is>
      </c>
      <c r="Y128" s="10" t="inlineStr">
        <is>
          <t>dilaporkan: overhead sub-milidetik pada HTTP riil (Sec. 5.2)</t>
        </is>
      </c>
      <c r="Z128" s="10" t="inlineStr">
        <is>
          <t>Protokol AIP untuk identitas agen dan delegasi berantai terverifikasi kriptografis pada MCP. Repositori/artefak: https://github.com/sunilp/aip.</t>
        </is>
      </c>
      <c r="AA128" s="11">
        <f>IF(I128="","",IF(OR(I128="attack",I128="survey_review",I128="benchmark_measurement",I128="position_other",I128="not_defense"),"n/a",IF(OR(X128="spec_normatif",X128="produksi_bukti_publik"),"L3",IF(ISNUMBER(SEARCH("independent",R128)),"L2",IF(R128="author_run","L1",IF(R128="none","L0",""))))))</f>
        <v/>
      </c>
      <c r="AB128" s="11">
        <f>IF(I128="","",IF(AND(K128="deterministic_policy",M128="ya"),"PERIKSA: deterministic_policy tetapi LLM/ML ada dalam keputusan. ","")&amp;IF(AND(U128="ya",V128=""),"PERIKSA: adaptif=ya wajib ada kutipan. ","")&amp;IF(AND(R128="none",U128&lt;&gt;"n/a_tanpa_evaluasi",U128&lt;&gt;""),"PERIKSA: tanpa evaluasi, adaptif harus n/a. ","")&amp;IF(AND(OR(R128="author_run",R128="author_run+independent",R128="independent_only"),Q128=""),"PERIKSA: isi kelas_dievaluasi. ","")&amp;IF(AND(OR(R128="author_run",R128="author_run+independent",R128="independent_only"),W128=""),"PERIKSA: isi lokasi_bukti. ","")&amp;IF(AND(H128="tidak",R128&lt;&gt;""),"PERIKSA: tanpa teks lengkap, kosongkan kolom evaluasi. ",""))</f>
        <v/>
      </c>
      <c r="AC128" t="inlineStr">
        <is>
          <t>include</t>
        </is>
      </c>
    </row>
    <row r="129" ht="157.5" customHeight="1" s="21">
      <c r="A129" s="8" t="inlineStr">
        <is>
          <t>taein-2026-evaluating-tool-cloning-agentic-ai</t>
        </is>
      </c>
      <c r="B129" s="8" t="inlineStr">
        <is>
          <t>Evaluating Tool Cloning in Agentic-AI Ecosystems</t>
        </is>
      </c>
      <c r="C129" s="8" t="n">
        <v>2026</v>
      </c>
      <c r="D129" s="8" t="inlineStr">
        <is>
          <t>E2</t>
        </is>
      </c>
      <c r="E129" s="8" t="inlineStr">
        <is>
          <t>scan_cepat</t>
        </is>
      </c>
      <c r="F129" s="8" t="inlineStr">
        <is>
          <t>none</t>
        </is>
      </c>
      <c r="G129" s="9" t="inlineStr">
        <is>
          <t>https://arxiv.org/abs/2605.09817</t>
        </is>
      </c>
      <c r="H129" s="10" t="n"/>
      <c r="I129" s="10" t="inlineStr">
        <is>
          <t>benchmark_measurement</t>
        </is>
      </c>
      <c r="J129" s="10" t="n"/>
      <c r="K129" s="10" t="n"/>
      <c r="L129" s="10" t="n"/>
      <c r="M129" s="10" t="n"/>
      <c r="N129" s="10" t="n"/>
      <c r="O129" s="10" t="n"/>
      <c r="P129" s="10" t="n"/>
      <c r="Q129" s="10" t="n"/>
      <c r="R129" s="10" t="n"/>
      <c r="S129" s="10" t="n"/>
      <c r="T129" s="10" t="n"/>
      <c r="U129" s="10" t="n"/>
      <c r="V129" s="10" t="n"/>
      <c r="W129" s="10" t="n"/>
      <c r="X129" s="10" t="n"/>
      <c r="Y129" s="10" t="n"/>
      <c r="Z129" s="10" t="inlineStr">
        <is>
          <t>Studi pengukuran empiris fenomena duplikasi dan kloning kode tool pada 7.508 repositori ekosistem MCP.</t>
        </is>
      </c>
      <c r="AA129" s="11">
        <f>IF(I129="","",IF(OR(I129="attack",I129="survey_review",I129="benchmark_measurement",I129="position_other",I129="not_defense"),"n/a",IF(OR(X129="spec_normatif",X129="produksi_bukti_publik"),"L3",IF(ISNUMBER(SEARCH("independent",R129)),"L2",IF(R129="author_run","L1",IF(R129="none","L0",""))))))</f>
        <v/>
      </c>
      <c r="AB129" s="11">
        <f>IF(I129="","",IF(AND(K129="deterministic_policy",M129="ya"),"PERIKSA: deterministic_policy tetapi LLM/ML ada dalam keputusan. ","")&amp;IF(AND(U129="ya",V129=""),"PERIKSA: adaptif=ya wajib ada kutipan. ","")&amp;IF(AND(R129="none",U129&lt;&gt;"n/a_tanpa_evaluasi",U129&lt;&gt;""),"PERIKSA: tanpa evaluasi, adaptif harus n/a. ","")&amp;IF(AND(OR(R129="author_run",R129="author_run+independent",R129="independent_only"),Q129=""),"PERIKSA: isi kelas_dievaluasi. ","")&amp;IF(AND(OR(R129="author_run",R129="author_run+independent",R129="independent_only"),W129=""),"PERIKSA: isi lokasi_bukti. ","")&amp;IF(AND(H129="tidak",R129&lt;&gt;""),"PERIKSA: tanpa teks lengkap, kosongkan kolom evaluasi. ",""))</f>
        <v/>
      </c>
      <c r="AC129" t="inlineStr">
        <is>
          <t>include</t>
        </is>
      </c>
    </row>
    <row r="130" ht="325.5" customHeight="1" s="21">
      <c r="A130" s="8" t="inlineStr">
        <is>
          <t>ting-2026-tool-connection-execution-control-benchmarking</t>
        </is>
      </c>
      <c r="B130" s="8" t="inlineStr">
        <is>
          <t>From Tool Connection to Execution Control: Benchmarking Security Invariants in MCP-Style Agent Runtimes</t>
        </is>
      </c>
      <c r="C130" s="8" t="n">
        <v>2026</v>
      </c>
      <c r="D130" s="8" t="inlineStr">
        <is>
          <t>E2</t>
        </is>
      </c>
      <c r="E130" s="8" t="inlineStr">
        <is>
          <t>scan_cepat</t>
        </is>
      </c>
      <c r="F130" s="8" t="inlineStr">
        <is>
          <t>none</t>
        </is>
      </c>
      <c r="G130" s="9" t="inlineStr">
        <is>
          <t>https://arxiv.org/abs/2606.29073</t>
        </is>
      </c>
      <c r="H130" s="10" t="inlineStr">
        <is>
          <t>ya</t>
        </is>
      </c>
      <c r="I130" s="10" t="inlineStr">
        <is>
          <t>defense_primary</t>
        </is>
      </c>
      <c r="J130" s="10" t="inlineStr">
        <is>
          <t>HCP Runtime</t>
        </is>
      </c>
      <c r="K130" s="10" t="inlineStr">
        <is>
          <t>capability_or_token</t>
        </is>
      </c>
      <c r="L130" s="10" t="inlineStr">
        <is>
          <t>Runtime broker yang menegakkan 8 invarian keamanan (metadata non-authoritative, grant-backed approval, capability handle) untuk memisahkan koneksi tool dari kontrol eksekusi pada MCP.</t>
        </is>
      </c>
      <c r="M130" s="10" t="inlineStr">
        <is>
          <t>tidak</t>
        </is>
      </c>
      <c r="N130" s="10" t="inlineStr">
        <is>
          <t>gateway_proxy</t>
        </is>
      </c>
      <c r="O130" s="10" t="inlineStr">
        <is>
          <t>R1;R2;R3;R5</t>
        </is>
      </c>
      <c r="P130" s="10" t="inlineStr">
        <is>
          <t>A1;C1;C5;D1</t>
        </is>
      </c>
      <c r="Q130" s="10" t="inlineStr">
        <is>
          <t>A1;C1;C5;D1</t>
        </is>
      </c>
      <c r="R130" s="10" t="inlineStr">
        <is>
          <t>author_run</t>
        </is>
      </c>
      <c r="S130" s="10" t="n"/>
      <c r="T130" s="10" t="inlineStr">
        <is>
          <t>authors_own</t>
        </is>
      </c>
      <c r="U130" s="10" t="inlineStr">
        <is>
          <t>tidak</t>
        </is>
      </c>
      <c r="V130" s="10" t="n"/>
      <c r="W130" s="10" t="inlineStr">
        <is>
          <t>Sec. 7, Table 4 &amp; 6, hal. 8-11</t>
        </is>
      </c>
      <c r="X130" s="10" t="inlineStr">
        <is>
          <t>prototype_open_source</t>
        </is>
      </c>
      <c r="Y130" s="10" t="inlineStr">
        <is>
          <t>dilaporkan: overhead in-memory mikrodetik (Tabel 6)</t>
        </is>
      </c>
      <c r="Z130" s="10" t="inlineStr">
        <is>
          <t>HCP Runtime mengimplementasikan sistem broker berbasis capability handle dan invarian tata kelola eksekusi untuk MCP. Repositori/artefak: https://github.com/SymbolicLight-AGI/handle-capability-protocol.</t>
        </is>
      </c>
      <c r="AA130" s="11">
        <f>IF(I130="","",IF(OR(I130="attack",I130="survey_review",I130="benchmark_measurement",I130="position_other",I130="not_defense"),"n/a",IF(OR(X130="spec_normatif",X130="produksi_bukti_publik"),"L3",IF(ISNUMBER(SEARCH("independent",R130)),"L2",IF(R130="author_run","L1",IF(R130="none","L0",""))))))</f>
        <v/>
      </c>
      <c r="AB130" s="11">
        <f>IF(I130="","",IF(AND(K130="deterministic_policy",M130="ya"),"PERIKSA: deterministic_policy tetapi LLM/ML ada dalam keputusan. ","")&amp;IF(AND(U130="ya",V130=""),"PERIKSA: adaptif=ya wajib ada kutipan. ","")&amp;IF(AND(R130="none",U130&lt;&gt;"n/a_tanpa_evaluasi",U130&lt;&gt;""),"PERIKSA: tanpa evaluasi, adaptif harus n/a. ","")&amp;IF(AND(OR(R130="author_run",R130="author_run+independent",R130="independent_only"),Q130=""),"PERIKSA: isi kelas_dievaluasi. ","")&amp;IF(AND(OR(R130="author_run",R130="author_run+independent",R130="independent_only"),W130=""),"PERIKSA: isi lokasi_bukti. ","")&amp;IF(AND(H130="tidak",R130&lt;&gt;""),"PERIKSA: tanpa teks lengkap, kosongkan kolom evaluasi. ",""))</f>
        <v/>
      </c>
      <c r="AC130" t="inlineStr">
        <is>
          <t>include</t>
        </is>
      </c>
    </row>
    <row r="131" ht="157.5" customHeight="1" s="21">
      <c r="A131" s="8" t="inlineStr">
        <is>
          <t>upendra-2026-artificial-intelligence-model-context-protocol</t>
        </is>
      </c>
      <c r="B131" s="8" t="inlineStr">
        <is>
          <t>Artificial Intelligence - Model Context Protocol - Review of Real-World Security Threats</t>
        </is>
      </c>
      <c r="C131" s="8" t="n">
        <v>2026</v>
      </c>
      <c r="D131" s="8" t="inlineStr">
        <is>
          <t>E1</t>
        </is>
      </c>
      <c r="E131" s="8" t="inlineStr">
        <is>
          <t>scan_cepat</t>
        </is>
      </c>
      <c r="F131" s="8" t="inlineStr">
        <is>
          <t>none</t>
        </is>
      </c>
      <c r="G131" s="9" t="inlineStr">
        <is>
          <t>https://doi.org/10.61643/c38836</t>
        </is>
      </c>
      <c r="H131" s="10" t="n"/>
      <c r="I131" s="10" t="inlineStr">
        <is>
          <t>survey_review</t>
        </is>
      </c>
      <c r="J131" s="10" t="n"/>
      <c r="K131" s="10" t="n"/>
      <c r="L131" s="10" t="n"/>
      <c r="M131" s="10" t="n"/>
      <c r="N131" s="10" t="n"/>
      <c r="O131" s="10" t="n"/>
      <c r="P131" s="10" t="n"/>
      <c r="Q131" s="10" t="n"/>
      <c r="R131" s="10" t="n"/>
      <c r="S131" s="10" t="n"/>
      <c r="T131" s="10" t="n"/>
      <c r="U131" s="10" t="n"/>
      <c r="V131" s="10" t="n"/>
      <c r="W131" s="10" t="n"/>
      <c r="X131" s="10" t="n"/>
      <c r="Y131" s="10" t="n"/>
      <c r="Z131" s="10" t="inlineStr">
        <is>
          <t>Artikel telaah pustaka (review paper) konseptual mengenai dasar arsitektur dan kegunaan protokol MCP.</t>
        </is>
      </c>
      <c r="AA131" s="11">
        <f>IF(I131="","",IF(OR(I131="attack",I131="survey_review",I131="benchmark_measurement",I131="position_other",I131="not_defense"),"n/a",IF(OR(X131="spec_normatif",X131="produksi_bukti_publik"),"L3",IF(ISNUMBER(SEARCH("independent",R131)),"L2",IF(R131="author_run","L1",IF(R131="none","L0",""))))))</f>
        <v/>
      </c>
      <c r="AB131" s="11">
        <f>IF(I131="","",IF(AND(K131="deterministic_policy",M131="ya"),"PERIKSA: deterministic_policy tetapi LLM/ML ada dalam keputusan. ","")&amp;IF(AND(U131="ya",V131=""),"PERIKSA: adaptif=ya wajib ada kutipan. ","")&amp;IF(AND(R131="none",U131&lt;&gt;"n/a_tanpa_evaluasi",U131&lt;&gt;""),"PERIKSA: tanpa evaluasi, adaptif harus n/a. ","")&amp;IF(AND(OR(R131="author_run",R131="author_run+independent",R131="independent_only"),Q131=""),"PERIKSA: isi kelas_dievaluasi. ","")&amp;IF(AND(OR(R131="author_run",R131="author_run+independent",R131="independent_only"),W131=""),"PERIKSA: isi lokasi_bukti. ","")&amp;IF(AND(H131="tidak",R131&lt;&gt;""),"PERIKSA: tanpa teks lengkap, kosongkan kolom evaluasi. ",""))</f>
        <v/>
      </c>
      <c r="AC131" t="inlineStr">
        <is>
          <t>include</t>
        </is>
      </c>
    </row>
    <row r="132" ht="292.5" customHeight="1" s="21">
      <c r="A132" s="8" t="inlineStr">
        <is>
          <t>xiaofan-2025-first-look-security-issues-model</t>
        </is>
      </c>
      <c r="B132" s="8" t="inlineStr">
        <is>
          <t>A First Look at the Security Issues in the Model Context Protocol Ecosystem</t>
        </is>
      </c>
      <c r="C132" s="8" t="n">
        <v>2025</v>
      </c>
      <c r="D132" s="8" t="inlineStr">
        <is>
          <t>E1</t>
        </is>
      </c>
      <c r="E132" s="8" t="inlineStr">
        <is>
          <t>scan_cepat</t>
        </is>
      </c>
      <c r="F132" s="8" t="inlineStr">
        <is>
          <t>none</t>
        </is>
      </c>
      <c r="G132" s="9" t="inlineStr">
        <is>
          <t>https://arxiv.org/abs/2510.16558</t>
        </is>
      </c>
      <c r="H132" s="10" t="n"/>
      <c r="I132" s="10" t="inlineStr">
        <is>
          <t>benchmark_measurement</t>
        </is>
      </c>
      <c r="J132" s="10" t="n"/>
      <c r="K132" s="10" t="n"/>
      <c r="L132" s="10" t="n"/>
      <c r="M132" s="10" t="n"/>
      <c r="N132" s="10" t="n"/>
      <c r="O132" s="10" t="n"/>
      <c r="P132" s="10" t="n"/>
      <c r="Q132" s="10" t="n"/>
      <c r="R132" s="10" t="n"/>
      <c r="S132" s="10" t="n"/>
      <c r="T132" s="10" t="n"/>
      <c r="U132" s="10" t="n"/>
      <c r="V132" s="10" t="n"/>
      <c r="W132" s="10" t="n"/>
      <c r="X132" s="10" t="n"/>
      <c r="Y132" s="10" t="n"/>
      <c r="Z132" s="10" t="inlineStr">
        <is>
          <t>Studi pengukuran keamanan empiris lintas-entitas ekosistem MCP (klien, server, protokol) dengan alat audit statis MCPInspect pada 300+ server. Dikodekan sebagai benchmark_measurement sesuai Pedoman Bagian 3.</t>
        </is>
      </c>
      <c r="AA132" s="11">
        <f>IF(I132="","",IF(OR(I132="attack",I132="survey_review",I132="benchmark_measurement",I132="position_other",I132="not_defense"),"n/a",IF(OR(X132="spec_normatif",X132="produksi_bukti_publik"),"L3",IF(ISNUMBER(SEARCH("independent",R132)),"L2",IF(R132="author_run","L1",IF(R132="none","L0",""))))))</f>
        <v/>
      </c>
      <c r="AB132" s="11">
        <f>IF(I132="","",IF(AND(K132="deterministic_policy",M132="ya"),"PERIKSA: deterministic_policy tetapi LLM/ML ada dalam keputusan. ","")&amp;IF(AND(U132="ya",V132=""),"PERIKSA: adaptif=ya wajib ada kutipan. ","")&amp;IF(AND(R132="none",U132&lt;&gt;"n/a_tanpa_evaluasi",U132&lt;&gt;""),"PERIKSA: tanpa evaluasi, adaptif harus n/a. ","")&amp;IF(AND(OR(R132="author_run",R132="author_run+independent",R132="independent_only"),Q132=""),"PERIKSA: isi kelas_dievaluasi. ","")&amp;IF(AND(OR(R132="author_run",R132="author_run+independent",R132="independent_only"),W132=""),"PERIKSA: isi lokasi_bukti. ","")&amp;IF(AND(H132="tidak",R132&lt;&gt;""),"PERIKSA: tanpa teks lengkap, kosongkan kolom evaluasi. ",""))</f>
        <v/>
      </c>
      <c r="AC132" t="inlineStr">
        <is>
          <t>include</t>
        </is>
      </c>
    </row>
    <row r="133" ht="314.25" customHeight="1" s="21">
      <c r="A133" s="8" t="inlineStr">
        <is>
          <t>xinyi-2026-unsafe-flow-uncovering-bidirectional-data</t>
        </is>
      </c>
      <c r="B133" s="8" t="inlineStr">
        <is>
          <t>Unsafe by Flow: Uncovering Bidirectional Data-Flow Risks in MCP Ecosystem</t>
        </is>
      </c>
      <c r="C133" s="8" t="n">
        <v>2026</v>
      </c>
      <c r="D133" s="8" t="inlineStr">
        <is>
          <t>E2</t>
        </is>
      </c>
      <c r="E133" s="8" t="inlineStr">
        <is>
          <t>scan_cepat</t>
        </is>
      </c>
      <c r="F133" s="8" t="inlineStr">
        <is>
          <t>none</t>
        </is>
      </c>
      <c r="G133" s="9" t="inlineStr">
        <is>
          <t>https://arxiv.org/abs/2605.07836</t>
        </is>
      </c>
      <c r="H133" s="10" t="inlineStr">
        <is>
          <t>ya</t>
        </is>
      </c>
      <c r="I133" s="10" t="inlineStr">
        <is>
          <t>defense_primary</t>
        </is>
      </c>
      <c r="J133" s="10" t="inlineStr">
        <is>
          <t>MCP-BiFlow</t>
        </is>
      </c>
      <c r="K133" s="10" t="inlineStr">
        <is>
          <t>content_inspection_static</t>
        </is>
      </c>
      <c r="L133" s="10" t="inlineStr">
        <is>
          <t>Penganalisis aliran data dua arah (MCP-BiFlow) yang melacak propagasi taint dari argumen peminta ke operasi sensitif serta paparan data tidak tepercaya pada output MCP.</t>
        </is>
      </c>
      <c r="M133" s="10" t="inlineStr">
        <is>
          <t>tidak</t>
        </is>
      </c>
      <c r="N133" s="10" t="inlineStr">
        <is>
          <t>offline_analysis</t>
        </is>
      </c>
      <c r="O133" s="10" t="inlineStr">
        <is>
          <t>R2;R5</t>
        </is>
      </c>
      <c r="P133" s="10" t="inlineStr">
        <is>
          <t>A2;C5;D1</t>
        </is>
      </c>
      <c r="Q133" s="10" t="inlineStr">
        <is>
          <t>A2;C5;D1</t>
        </is>
      </c>
      <c r="R133" s="10" t="inlineStr">
        <is>
          <t>author_run</t>
        </is>
      </c>
      <c r="S133" s="10" t="n"/>
      <c r="T133" s="10" t="inlineStr">
        <is>
          <t>third_party_public</t>
        </is>
      </c>
      <c r="U133" s="10" t="inlineStr">
        <is>
          <t>tidak</t>
        </is>
      </c>
      <c r="V133" s="10" t="n"/>
      <c r="W133" s="10" t="inlineStr">
        <is>
          <t>Sec. 4, Table 1-3, hal. 6-9</t>
        </is>
      </c>
      <c r="X133" s="10" t="inlineStr">
        <is>
          <t>none</t>
        </is>
      </c>
      <c r="Y133" s="10" t="inlineStr">
        <is>
          <t>dilaporkan: waktu analisis aliran data (Sec. 4)</t>
        </is>
      </c>
      <c r="Z133" s="10" t="inlineStr">
        <is>
          <t>MCP-BiFlow mengevaluasi deteksi aliran data dua arah pada 859 instans kerentanan server MCP riil. Catatan deployment: prototipe internal/eksperimental (belum dirilis secara publik).</t>
        </is>
      </c>
      <c r="AA133" s="11">
        <f>IF(I133="","",IF(OR(I133="attack",I133="survey_review",I133="benchmark_measurement",I133="position_other",I133="not_defense"),"n/a",IF(OR(X133="spec_normatif",X133="produksi_bukti_publik"),"L3",IF(ISNUMBER(SEARCH("independent",R133)),"L2",IF(R133="author_run","L1",IF(R133="none","L0",""))))))</f>
        <v/>
      </c>
      <c r="AB133" s="11">
        <f>IF(I133="","",IF(AND(K133="deterministic_policy",M133="ya"),"PERIKSA: deterministic_policy tetapi LLM/ML ada dalam keputusan. ","")&amp;IF(AND(U133="ya",V133=""),"PERIKSA: adaptif=ya wajib ada kutipan. ","")&amp;IF(AND(R133="none",U133&lt;&gt;"n/a_tanpa_evaluasi",U133&lt;&gt;""),"PERIKSA: tanpa evaluasi, adaptif harus n/a. ","")&amp;IF(AND(OR(R133="author_run",R133="author_run+independent",R133="independent_only"),Q133=""),"PERIKSA: isi kelas_dievaluasi. ","")&amp;IF(AND(OR(R133="author_run",R133="author_run+independent",R133="independent_only"),W133=""),"PERIKSA: isi lokasi_bukti. ","")&amp;IF(AND(H133="tidak",R133&lt;&gt;""),"PERIKSA: tanpa teks lengkap, kosongkan kolom evaluasi. ",""))</f>
        <v/>
      </c>
      <c r="AC133" t="inlineStr">
        <is>
          <t>include</t>
        </is>
      </c>
    </row>
    <row r="134" ht="191.25" customHeight="1" s="21">
      <c r="A134" s="8" t="inlineStr">
        <is>
          <t>xuanjun-2025-mcp-safetybench-benchmark-safety-evaluation</t>
        </is>
      </c>
      <c r="B134" s="8" t="inlineStr">
        <is>
          <t>MCP-SafetyBench: A Benchmark for Safety Evaluation of Large Language Models with Real-World MCP Servers</t>
        </is>
      </c>
      <c r="C134" s="8" t="n">
        <v>2025</v>
      </c>
      <c r="D134" s="8" t="inlineStr">
        <is>
          <t>E2</t>
        </is>
      </c>
      <c r="E134" s="8" t="inlineStr">
        <is>
          <t>scan_cepat</t>
        </is>
      </c>
      <c r="F134" s="8" t="inlineStr">
        <is>
          <t>none</t>
        </is>
      </c>
      <c r="G134" s="9" t="inlineStr">
        <is>
          <t>https://arxiv.org/abs/2512.15163</t>
        </is>
      </c>
      <c r="H134" s="10" t="n"/>
      <c r="I134" s="10" t="inlineStr">
        <is>
          <t>benchmark_measurement</t>
        </is>
      </c>
      <c r="J134" s="10" t="n"/>
      <c r="K134" s="10" t="n"/>
      <c r="L134" s="10" t="n"/>
      <c r="M134" s="10" t="n"/>
      <c r="N134" s="10" t="n"/>
      <c r="O134" s="10" t="n"/>
      <c r="P134" s="10" t="n"/>
      <c r="Q134" s="10" t="n"/>
      <c r="R134" s="10" t="n"/>
      <c r="S134" s="10" t="n"/>
      <c r="T134" s="10" t="n"/>
      <c r="U134" s="10" t="n"/>
      <c r="V134" s="10" t="n"/>
      <c r="W134" s="10" t="n"/>
      <c r="X134" s="10" t="n"/>
      <c r="Y134" s="10" t="n"/>
      <c r="Z134" s="10" t="inlineStr">
        <is>
          <t>Tolok ukur keamanan (MCP-SafetyBench) berbasis server riil untuk mengevaluasi ketahanan LLM terhadap 20 tipe serangan MCP.</t>
        </is>
      </c>
      <c r="AA134" s="11">
        <f>IF(I134="","",IF(OR(I134="attack",I134="survey_review",I134="benchmark_measurement",I134="position_other",I134="not_defense"),"n/a",IF(OR(X134="spec_normatif",X134="produksi_bukti_publik"),"L3",IF(ISNUMBER(SEARCH("independent",R134)),"L2",IF(R134="author_run","L1",IF(R134="none","L0",""))))))</f>
        <v/>
      </c>
      <c r="AB134" s="11">
        <f>IF(I134="","",IF(AND(K134="deterministic_policy",M134="ya"),"PERIKSA: deterministic_policy tetapi LLM/ML ada dalam keputusan. ","")&amp;IF(AND(U134="ya",V134=""),"PERIKSA: adaptif=ya wajib ada kutipan. ","")&amp;IF(AND(R134="none",U134&lt;&gt;"n/a_tanpa_evaluasi",U134&lt;&gt;""),"PERIKSA: tanpa evaluasi, adaptif harus n/a. ","")&amp;IF(AND(OR(R134="author_run",R134="author_run+independent",R134="independent_only"),Q134=""),"PERIKSA: isi kelas_dievaluasi. ","")&amp;IF(AND(OR(R134="author_run",R134="author_run+independent",R134="independent_only"),W134=""),"PERIKSA: isi lokasi_bukti. ","")&amp;IF(AND(H134="tidak",R134&lt;&gt;""),"PERIKSA: tanpa teks lengkap, kosongkan kolom evaluasi. ",""))</f>
        <v/>
      </c>
      <c r="AC134" t="inlineStr">
        <is>
          <t>include</t>
        </is>
      </c>
    </row>
    <row r="135" ht="191.25" customHeight="1" s="21">
      <c r="A135" s="8" t="inlineStr">
        <is>
          <t>yi-2026-mcp-38-comprehensive-threat-taxonomy</t>
        </is>
      </c>
      <c r="B135" s="8" t="inlineStr">
        <is>
          <t>MCP-38: A Comprehensive Threat Taxonomy for Model Context Protocol Systems (v1.0)</t>
        </is>
      </c>
      <c r="C135" s="8" t="n">
        <v>2026</v>
      </c>
      <c r="D135" s="8" t="inlineStr">
        <is>
          <t>E2</t>
        </is>
      </c>
      <c r="E135" s="8" t="inlineStr">
        <is>
          <t>scan_cepat</t>
        </is>
      </c>
      <c r="F135" s="8" t="inlineStr">
        <is>
          <t>none</t>
        </is>
      </c>
      <c r="G135" s="9" t="inlineStr">
        <is>
          <t>https://arxiv.org/abs/2603.18063</t>
        </is>
      </c>
      <c r="H135" s="10" t="n"/>
      <c r="I135" s="10" t="inlineStr">
        <is>
          <t>survey_review</t>
        </is>
      </c>
      <c r="J135" s="10" t="n"/>
      <c r="K135" s="10" t="n"/>
      <c r="L135" s="10" t="n"/>
      <c r="M135" s="10" t="n"/>
      <c r="N135" s="10" t="n"/>
      <c r="O135" s="10" t="n"/>
      <c r="P135" s="10" t="n"/>
      <c r="Q135" s="10" t="n"/>
      <c r="R135" s="10" t="n"/>
      <c r="S135" s="10" t="n"/>
      <c r="T135" s="10" t="n"/>
      <c r="U135" s="10" t="n"/>
      <c r="V135" s="10" t="n"/>
      <c r="W135" s="10" t="n"/>
      <c r="X135" s="10" t="n"/>
      <c r="Y135" s="10" t="n"/>
      <c r="Z135" s="10" t="inlineStr">
        <is>
          <t>Taksonomi ancaman komprehensif (MCP-38) yang memetakan 38 kategori ancaman protokol MCP ke standar STRIDE dan OWASP.</t>
        </is>
      </c>
      <c r="AA135" s="11">
        <f>IF(I135="","",IF(OR(I135="attack",I135="survey_review",I135="benchmark_measurement",I135="position_other",I135="not_defense"),"n/a",IF(OR(X135="spec_normatif",X135="produksi_bukti_publik"),"L3",IF(ISNUMBER(SEARCH("independent",R135)),"L2",IF(R135="author_run","L1",IF(R135="none","L0",""))))))</f>
        <v/>
      </c>
      <c r="AB135" s="11">
        <f>IF(I135="","",IF(AND(K135="deterministic_policy",M135="ya"),"PERIKSA: deterministic_policy tetapi LLM/ML ada dalam keputusan. ","")&amp;IF(AND(U135="ya",V135=""),"PERIKSA: adaptif=ya wajib ada kutipan. ","")&amp;IF(AND(R135="none",U135&lt;&gt;"n/a_tanpa_evaluasi",U135&lt;&gt;""),"PERIKSA: tanpa evaluasi, adaptif harus n/a. ","")&amp;IF(AND(OR(R135="author_run",R135="author_run+independent",R135="independent_only"),Q135=""),"PERIKSA: isi kelas_dievaluasi. ","")&amp;IF(AND(OR(R135="author_run",R135="author_run+independent",R135="independent_only"),W135=""),"PERIKSA: isi lokasi_bukti. ","")&amp;IF(AND(H135="tidak",R135&lt;&gt;""),"PERIKSA: tanpa teks lengkap, kosongkan kolom evaluasi. ",""))</f>
        <v/>
      </c>
      <c r="AC135" t="inlineStr">
        <is>
          <t>include</t>
        </is>
      </c>
    </row>
    <row r="136" ht="191.25" customHeight="1" s="21">
      <c r="A136" s="8" t="inlineStr">
        <is>
          <t>yi-2026-mcpthreathive-automated-threat-intelligence-model</t>
        </is>
      </c>
      <c r="B136" s="8" t="inlineStr">
        <is>
          <t>MCPThreatHive: Automated Threat Intelligence for Model Context Protocol Ecosystems</t>
        </is>
      </c>
      <c r="C136" s="8" t="n">
        <v>2026</v>
      </c>
      <c r="D136" s="8" t="inlineStr">
        <is>
          <t>E2</t>
        </is>
      </c>
      <c r="E136" s="8" t="inlineStr">
        <is>
          <t>scan_cepat</t>
        </is>
      </c>
      <c r="F136" s="8" t="inlineStr">
        <is>
          <t>none</t>
        </is>
      </c>
      <c r="G136" s="9" t="inlineStr">
        <is>
          <t>https://arxiv.org/abs/2604.13849</t>
        </is>
      </c>
      <c r="H136" s="10" t="n"/>
      <c r="I136" s="10" t="inlineStr">
        <is>
          <t>position_other</t>
        </is>
      </c>
      <c r="J136" s="10" t="n"/>
      <c r="K136" s="10" t="n"/>
      <c r="L136" s="10" t="n"/>
      <c r="M136" s="10" t="n"/>
      <c r="N136" s="10" t="n"/>
      <c r="O136" s="10" t="n"/>
      <c r="P136" s="10" t="n"/>
      <c r="Q136" s="10" t="n"/>
      <c r="R136" s="10" t="n"/>
      <c r="S136" s="10" t="n"/>
      <c r="T136" s="10" t="n"/>
      <c r="U136" s="10" t="n"/>
      <c r="V136" s="10" t="n"/>
      <c r="W136" s="10" t="n"/>
      <c r="X136" s="10" t="n"/>
      <c r="Y136" s="10" t="n"/>
      <c r="Z136" s="10" t="inlineStr">
        <is>
          <t>Platform intelijen ancaman dan basis pengetahuan otomatis (MCPThreatHive) untuk pemodelan risiko ekosistem MCP tanpa penegakan runtime.</t>
        </is>
      </c>
      <c r="AA136" s="11">
        <f>IF(I136="","",IF(OR(I136="attack",I136="survey_review",I136="benchmark_measurement",I136="position_other",I136="not_defense"),"n/a",IF(OR(X136="spec_normatif",X136="produksi_bukti_publik"),"L3",IF(ISNUMBER(SEARCH("independent",R136)),"L2",IF(R136="author_run","L1",IF(R136="none","L0",""))))))</f>
        <v/>
      </c>
      <c r="AB136" s="11">
        <f>IF(I136="","",IF(AND(K136="deterministic_policy",M136="ya"),"PERIKSA: deterministic_policy tetapi LLM/ML ada dalam keputusan. ","")&amp;IF(AND(U136="ya",V136=""),"PERIKSA: adaptif=ya wajib ada kutipan. ","")&amp;IF(AND(R136="none",U136&lt;&gt;"n/a_tanpa_evaluasi",U136&lt;&gt;""),"PERIKSA: tanpa evaluasi, adaptif harus n/a. ","")&amp;IF(AND(OR(R136="author_run",R136="author_run+independent",R136="independent_only"),Q136=""),"PERIKSA: isi kelas_dievaluasi. ","")&amp;IF(AND(OR(R136="author_run",R136="author_run+independent",R136="independent_only"),W136=""),"PERIKSA: isi lokasi_bukti. ","")&amp;IF(AND(H136="tidak",R136&lt;&gt;""),"PERIKSA: tanpa teks lengkap, kosongkan kolom evaluasi. ",""))</f>
        <v/>
      </c>
      <c r="AC136" t="inlineStr">
        <is>
          <t>include</t>
        </is>
      </c>
    </row>
    <row r="137" ht="180" customHeight="1" s="21">
      <c r="A137" s="8" t="inlineStr">
        <is>
          <t>yingxuan-2025-survey-ai-agent-protocols</t>
        </is>
      </c>
      <c r="B137" s="8" t="inlineStr">
        <is>
          <t>A Survey of AI Agent Protocols</t>
        </is>
      </c>
      <c r="C137" s="8" t="n">
        <v>2025</v>
      </c>
      <c r="D137" s="8" t="inlineStr">
        <is>
          <t>E2</t>
        </is>
      </c>
      <c r="E137" s="8" t="inlineStr">
        <is>
          <t>scan_cepat</t>
        </is>
      </c>
      <c r="F137" s="8" t="inlineStr">
        <is>
          <t>none</t>
        </is>
      </c>
      <c r="G137" s="9" t="inlineStr">
        <is>
          <t>https://doi.org/10.48550/arxiv.2504.16736</t>
        </is>
      </c>
      <c r="H137" s="10" t="n"/>
      <c r="I137" s="10" t="inlineStr">
        <is>
          <t>survey_review</t>
        </is>
      </c>
      <c r="J137" s="10" t="n"/>
      <c r="K137" s="10" t="n"/>
      <c r="L137" s="10" t="n"/>
      <c r="M137" s="10" t="n"/>
      <c r="N137" s="10" t="n"/>
      <c r="O137" s="10" t="n"/>
      <c r="P137" s="10" t="n"/>
      <c r="Q137" s="10" t="n"/>
      <c r="R137" s="10" t="n"/>
      <c r="S137" s="10" t="n"/>
      <c r="T137" s="10" t="n"/>
      <c r="U137" s="10" t="n"/>
      <c r="V137" s="10" t="n"/>
      <c r="W137" s="10" t="n"/>
      <c r="X137" s="10" t="n"/>
      <c r="Y137" s="10" t="n"/>
      <c r="Z137" s="10" t="inlineStr">
        <is>
          <t>Tinjauan survei komparatif mengenai berbagai protokol komunikasi agen AI termasuk analisis dimensi keamanan dan skalabilitas.</t>
        </is>
      </c>
      <c r="AA137" s="11">
        <f>IF(I137="","",IF(OR(I137="attack",I137="survey_review",I137="benchmark_measurement",I137="position_other",I137="not_defense"),"n/a",IF(OR(X137="spec_normatif",X137="produksi_bukti_publik"),"L3",IF(ISNUMBER(SEARCH("independent",R137)),"L2",IF(R137="author_run","L1",IF(R137="none","L0",""))))))</f>
        <v/>
      </c>
      <c r="AB137" s="11">
        <f>IF(I137="","",IF(AND(K137="deterministic_policy",M137="ya"),"PERIKSA: deterministic_policy tetapi LLM/ML ada dalam keputusan. ","")&amp;IF(AND(U137="ya",V137=""),"PERIKSA: adaptif=ya wajib ada kutipan. ","")&amp;IF(AND(R137="none",U137&lt;&gt;"n/a_tanpa_evaluasi",U137&lt;&gt;""),"PERIKSA: tanpa evaluasi, adaptif harus n/a. ","")&amp;IF(AND(OR(R137="author_run",R137="author_run+independent",R137="independent_only"),Q137=""),"PERIKSA: isi kelas_dievaluasi. ","")&amp;IF(AND(OR(R137="author_run",R137="author_run+independent",R137="independent_only"),W137=""),"PERIKSA: isi lokasi_bukti. ","")&amp;IF(AND(H137="tidak",R137&lt;&gt;""),"PERIKSA: tanpa teks lengkap, kosongkan kolom evaluasi. ",""))</f>
        <v/>
      </c>
      <c r="AC137" t="inlineStr">
        <is>
          <t>include</t>
        </is>
      </c>
    </row>
    <row r="138" ht="202.5" customHeight="1" s="21">
      <c r="A138" s="8" t="inlineStr">
        <is>
          <t>yixuan-2025-mcpsecbench-systematic-security-benchmark-playground</t>
        </is>
      </c>
      <c r="B138" s="8" t="inlineStr">
        <is>
          <t>MCPSecBench: A Systematic Security Benchmark and Playground for Testing Model Context Protocols</t>
        </is>
      </c>
      <c r="C138" s="8" t="n">
        <v>2025</v>
      </c>
      <c r="D138" s="8" t="inlineStr">
        <is>
          <t>E2</t>
        </is>
      </c>
      <c r="E138" s="8" t="inlineStr">
        <is>
          <t>scan_cepat</t>
        </is>
      </c>
      <c r="F138" s="8" t="inlineStr">
        <is>
          <t>none</t>
        </is>
      </c>
      <c r="G138" s="9" t="inlineStr">
        <is>
          <t>https://arxiv.org/abs/2508.13220</t>
        </is>
      </c>
      <c r="H138" s="10" t="n"/>
      <c r="I138" s="10" t="inlineStr">
        <is>
          <t>benchmark_measurement</t>
        </is>
      </c>
      <c r="J138" s="10" t="n"/>
      <c r="K138" s="10" t="n"/>
      <c r="L138" s="10" t="n"/>
      <c r="M138" s="10" t="n"/>
      <c r="N138" s="10" t="n"/>
      <c r="O138" s="10" t="n"/>
      <c r="P138" s="10" t="n"/>
      <c r="Q138" s="10" t="n"/>
      <c r="R138" s="10" t="n"/>
      <c r="S138" s="10" t="n"/>
      <c r="T138" s="10" t="n"/>
      <c r="U138" s="10" t="n"/>
      <c r="V138" s="10" t="n"/>
      <c r="W138" s="10" t="n"/>
      <c r="X138" s="10" t="n"/>
      <c r="Y138" s="10" t="n"/>
      <c r="Z138" s="10" t="inlineStr">
        <is>
          <t>Tolok ukur keamanan dan lingkungan pengujian (MCPSecBench) untuk mengevaluasi ketahanan implementasi MCP terhadap serangan.</t>
        </is>
      </c>
      <c r="AA138" s="11">
        <f>IF(I138="","",IF(OR(I138="attack",I138="survey_review",I138="benchmark_measurement",I138="position_other",I138="not_defense"),"n/a",IF(OR(X138="spec_normatif",X138="produksi_bukti_publik"),"L3",IF(ISNUMBER(SEARCH("independent",R138)),"L2",IF(R138="author_run","L1",IF(R138="none","L0",""))))))</f>
        <v/>
      </c>
      <c r="AB138" s="11">
        <f>IF(I138="","",IF(AND(K138="deterministic_policy",M138="ya"),"PERIKSA: deterministic_policy tetapi LLM/ML ada dalam keputusan. ","")&amp;IF(AND(U138="ya",V138=""),"PERIKSA: adaptif=ya wajib ada kutipan. ","")&amp;IF(AND(R138="none",U138&lt;&gt;"n/a_tanpa_evaluasi",U138&lt;&gt;""),"PERIKSA: tanpa evaluasi, adaptif harus n/a. ","")&amp;IF(AND(OR(R138="author_run",R138="author_run+independent",R138="independent_only"),Q138=""),"PERIKSA: isi kelas_dievaluasi. ","")&amp;IF(AND(OR(R138="author_run",R138="author_run+independent",R138="independent_only"),W138=""),"PERIKSA: isi lokasi_bukti. ","")&amp;IF(AND(H138="tidak",R138&lt;&gt;""),"PERIKSA: tanpa teks lengkap, kosongkan kolom evaluasi. ",""))</f>
        <v/>
      </c>
      <c r="AC138" t="inlineStr">
        <is>
          <t>include</t>
        </is>
      </c>
    </row>
    <row r="139" ht="202.5" customHeight="1" s="21">
      <c r="A139" s="8" t="inlineStr">
        <is>
          <t>yongjian-2025-mcpxkit-unified-toolkit-analyzing-model</t>
        </is>
      </c>
      <c r="B139" s="8" t="inlineStr">
        <is>
          <t>MCPXKIT: The Unified Toolkit for Analyzing Model Context Protocol Security</t>
        </is>
      </c>
      <c r="C139" s="8" t="n">
        <v>2025</v>
      </c>
      <c r="D139" s="8" t="inlineStr">
        <is>
          <t>E1</t>
        </is>
      </c>
      <c r="E139" s="8" t="inlineStr">
        <is>
          <t>scan_cepat</t>
        </is>
      </c>
      <c r="F139" s="8" t="inlineStr">
        <is>
          <t>none</t>
        </is>
      </c>
      <c r="G139" s="9" t="inlineStr">
        <is>
          <t>https://arxiv.org/abs/2508.12538</t>
        </is>
      </c>
      <c r="H139" s="10" t="n"/>
      <c r="I139" s="10" t="inlineStr">
        <is>
          <t>benchmark_measurement</t>
        </is>
      </c>
      <c r="J139" s="10" t="n"/>
      <c r="K139" s="10" t="n"/>
      <c r="L139" s="10" t="n"/>
      <c r="M139" s="10" t="n"/>
      <c r="N139" s="10" t="n"/>
      <c r="O139" s="10" t="n"/>
      <c r="P139" s="10" t="n"/>
      <c r="Q139" s="10" t="n"/>
      <c r="R139" s="10" t="n"/>
      <c r="S139" s="10" t="n"/>
      <c r="T139" s="10" t="n"/>
      <c r="U139" s="10" t="n"/>
      <c r="V139" s="10" t="n"/>
      <c r="W139" s="10" t="n"/>
      <c r="X139" s="10" t="n"/>
      <c r="Y139" s="10" t="n"/>
      <c r="Z139" s="10" t="inlineStr">
        <is>
          <t>Toolkit analisis keamanan dan pengujian empiris (MCPXKIT) yang mengimplementasikan 31 metode serangan untuk mengevaluasi kerentanan MCP.</t>
        </is>
      </c>
      <c r="AA139" s="11">
        <f>IF(I139="","",IF(OR(I139="attack",I139="survey_review",I139="benchmark_measurement",I139="position_other",I139="not_defense"),"n/a",IF(OR(X139="spec_normatif",X139="produksi_bukti_publik"),"L3",IF(ISNUMBER(SEARCH("independent",R139)),"L2",IF(R139="author_run","L1",IF(R139="none","L0",""))))))</f>
        <v/>
      </c>
      <c r="AB139" s="11">
        <f>IF(I139="","",IF(AND(K139="deterministic_policy",M139="ya"),"PERIKSA: deterministic_policy tetapi LLM/ML ada dalam keputusan. ","")&amp;IF(AND(U139="ya",V139=""),"PERIKSA: adaptif=ya wajib ada kutipan. ","")&amp;IF(AND(R139="none",U139&lt;&gt;"n/a_tanpa_evaluasi",U139&lt;&gt;""),"PERIKSA: tanpa evaluasi, adaptif harus n/a. ","")&amp;IF(AND(OR(R139="author_run",R139="author_run+independent",R139="independent_only"),Q139=""),"PERIKSA: isi kelas_dievaluasi. ","")&amp;IF(AND(OR(R139="author_run",R139="author_run+independent",R139="independent_only"),W139=""),"PERIKSA: isi lokasi_bukti. ","")&amp;IF(AND(H139="tidak",R139&lt;&gt;""),"PERIKSA: tanpa teks lengkap, kosongkan kolom evaluasi. ",""))</f>
        <v/>
      </c>
      <c r="AC139" t="inlineStr">
        <is>
          <t>include</t>
        </is>
      </c>
    </row>
    <row r="140" ht="225" customHeight="1" s="21">
      <c r="A140" s="8" t="inlineStr">
        <is>
          <t>yuhang-2026-give-them-inch-they-will</t>
        </is>
      </c>
      <c r="B140" s="8" t="inlineStr">
        <is>
          <t>Give Them an Inch and They Will Take a Mile:Understanding and Measuring Caller Identity Confusion in MCP-Based AI Systems</t>
        </is>
      </c>
      <c r="C140" s="8" t="n">
        <v>2026</v>
      </c>
      <c r="D140" s="8" t="inlineStr">
        <is>
          <t>E2</t>
        </is>
      </c>
      <c r="E140" s="8" t="inlineStr">
        <is>
          <t>scan_cepat</t>
        </is>
      </c>
      <c r="F140" s="8" t="inlineStr">
        <is>
          <t>none</t>
        </is>
      </c>
      <c r="G140" s="9" t="inlineStr">
        <is>
          <t>https://arxiv.org/abs/2603.07473</t>
        </is>
      </c>
      <c r="H140" s="10" t="n"/>
      <c r="I140" s="10" t="inlineStr">
        <is>
          <t>benchmark_measurement</t>
        </is>
      </c>
      <c r="J140" s="10" t="n"/>
      <c r="K140" s="10" t="n"/>
      <c r="L140" s="10" t="n"/>
      <c r="M140" s="10" t="n"/>
      <c r="N140" s="10" t="n"/>
      <c r="O140" s="10" t="n"/>
      <c r="P140" s="10" t="n"/>
      <c r="Q140" s="10" t="n"/>
      <c r="R140" s="10" t="n"/>
      <c r="S140" s="10" t="n"/>
      <c r="T140" s="10" t="n"/>
      <c r="U140" s="10" t="n"/>
      <c r="V140" s="10" t="n"/>
      <c r="W140" s="10" t="n"/>
      <c r="X140" s="10" t="n"/>
      <c r="Y140" s="10" t="n"/>
      <c r="Z140" s="10" t="inlineStr">
        <is>
          <t>Studi pengukuran empiris dan analisis kelemahan mekanisme autentikasi identitas pemanggil (caller identity confusion) pada server MCP.</t>
        </is>
      </c>
      <c r="AA140" s="11">
        <f>IF(I140="","",IF(OR(I140="attack",I140="survey_review",I140="benchmark_measurement",I140="position_other",I140="not_defense"),"n/a",IF(OR(X140="spec_normatif",X140="produksi_bukti_publik"),"L3",IF(ISNUMBER(SEARCH("independent",R140)),"L2",IF(R140="author_run","L1",IF(R140="none","L0",""))))))</f>
        <v/>
      </c>
      <c r="AB140" s="11">
        <f>IF(I140="","",IF(AND(K140="deterministic_policy",M140="ya"),"PERIKSA: deterministic_policy tetapi LLM/ML ada dalam keputusan. ","")&amp;IF(AND(U140="ya",V140=""),"PERIKSA: adaptif=ya wajib ada kutipan. ","")&amp;IF(AND(R140="none",U140&lt;&gt;"n/a_tanpa_evaluasi",U140&lt;&gt;""),"PERIKSA: tanpa evaluasi, adaptif harus n/a. ","")&amp;IF(AND(OR(R140="author_run",R140="author_run+independent",R140="independent_only"),Q140=""),"PERIKSA: isi kelas_dievaluasi. ","")&amp;IF(AND(OR(R140="author_run",R140="author_run+independent",R140="independent_only"),W140=""),"PERIKSA: isi lokasi_bukti. ","")&amp;IF(AND(H140="tidak",R140&lt;&gt;""),"PERIKSA: tanpa teks lengkap, kosongkan kolom evaluasi. ",""))</f>
        <v/>
      </c>
      <c r="AC140" t="inlineStr">
        <is>
          <t>include</t>
        </is>
      </c>
    </row>
    <row r="141" ht="191.25" customHeight="1" s="21">
      <c r="A141" s="8" t="inlineStr">
        <is>
          <t>yulin-2026-invisible-threats-model-context-protocol</t>
        </is>
      </c>
      <c r="B141" s="8" t="inlineStr">
        <is>
          <t>Invisible Threats from Model Context Protocol: Generating Stealthy Injection Payload via Tree-based Adaptive Search</t>
        </is>
      </c>
      <c r="C141" s="8" t="n">
        <v>2026</v>
      </c>
      <c r="D141" s="8" t="inlineStr">
        <is>
          <t>E2</t>
        </is>
      </c>
      <c r="E141" s="8" t="inlineStr">
        <is>
          <t>scan_cepat</t>
        </is>
      </c>
      <c r="F141" s="8" t="inlineStr">
        <is>
          <t>none</t>
        </is>
      </c>
      <c r="G141" s="9" t="inlineStr">
        <is>
          <t>https://arxiv.org/abs/2603.24203</t>
        </is>
      </c>
      <c r="H141" s="10" t="n"/>
      <c r="I141" s="10" t="inlineStr">
        <is>
          <t>attack</t>
        </is>
      </c>
      <c r="J141" s="10" t="n"/>
      <c r="K141" s="10" t="n"/>
      <c r="L141" s="10" t="n"/>
      <c r="M141" s="10" t="n"/>
      <c r="N141" s="10" t="n"/>
      <c r="O141" s="10" t="n"/>
      <c r="P141" s="10" t="n"/>
      <c r="Q141" s="10" t="n"/>
      <c r="R141" s="10" t="n"/>
      <c r="S141" s="10" t="n"/>
      <c r="T141" s="10" t="n"/>
      <c r="U141" s="10" t="n"/>
      <c r="V141" s="10" t="n"/>
      <c r="W141" s="10" t="n"/>
      <c r="X141" s="10" t="n"/>
      <c r="Y141" s="10" t="n"/>
      <c r="Z141" s="10" t="inlineStr">
        <is>
          <t>Perancangan teknik serangan injeksi payload tersembunyi (TIP) berbasis pencarian pohon pada respons tool MCP tanpa mitigasi baru.</t>
        </is>
      </c>
      <c r="AA141" s="11">
        <f>IF(I141="","",IF(OR(I141="attack",I141="survey_review",I141="benchmark_measurement",I141="position_other",I141="not_defense"),"n/a",IF(OR(X141="spec_normatif",X141="produksi_bukti_publik"),"L3",IF(ISNUMBER(SEARCH("independent",R141)),"L2",IF(R141="author_run","L1",IF(R141="none","L0",""))))))</f>
        <v/>
      </c>
      <c r="AB141" s="11">
        <f>IF(I141="","",IF(AND(K141="deterministic_policy",M141="ya"),"PERIKSA: deterministic_policy tetapi LLM/ML ada dalam keputusan. ","")&amp;IF(AND(U141="ya",V141=""),"PERIKSA: adaptif=ya wajib ada kutipan. ","")&amp;IF(AND(R141="none",U141&lt;&gt;"n/a_tanpa_evaluasi",U141&lt;&gt;""),"PERIKSA: tanpa evaluasi, adaptif harus n/a. ","")&amp;IF(AND(OR(R141="author_run",R141="author_run+independent",R141="independent_only"),Q141=""),"PERIKSA: isi kelas_dievaluasi. ","")&amp;IF(AND(OR(R141="author_run",R141="author_run+independent",R141="independent_only"),W141=""),"PERIKSA: isi lokasi_bukti. ","")&amp;IF(AND(H141="tidak",R141&lt;&gt;""),"PERIKSA: tanpa teks lengkap, kosongkan kolom evaluasi. ",""))</f>
        <v/>
      </c>
      <c r="AC141" t="inlineStr">
        <is>
          <t>include</t>
        </is>
      </c>
    </row>
    <row r="142" ht="191.25" customHeight="1" s="21">
      <c r="A142" s="8" t="inlineStr">
        <is>
          <t>yunhao-2025-intentminer-intent-inversion-attack-via</t>
        </is>
      </c>
      <c r="B142" s="8" t="inlineStr">
        <is>
          <t>IntentMiner: Intent Inversion Attack via Tool Call Analysis in the Model Context Protocol</t>
        </is>
      </c>
      <c r="C142" s="8" t="n">
        <v>2025</v>
      </c>
      <c r="D142" s="8" t="inlineStr">
        <is>
          <t>E2</t>
        </is>
      </c>
      <c r="E142" s="8" t="inlineStr">
        <is>
          <t>scan_cepat</t>
        </is>
      </c>
      <c r="F142" s="8" t="inlineStr">
        <is>
          <t>none</t>
        </is>
      </c>
      <c r="G142" s="9" t="inlineStr">
        <is>
          <t>https://arxiv.org/abs/2512.14166</t>
        </is>
      </c>
      <c r="H142" s="10" t="n"/>
      <c r="I142" s="10" t="inlineStr">
        <is>
          <t>attack</t>
        </is>
      </c>
      <c r="J142" s="10" t="n"/>
      <c r="K142" s="10" t="n"/>
      <c r="L142" s="10" t="n"/>
      <c r="M142" s="10" t="n"/>
      <c r="N142" s="10" t="n"/>
      <c r="O142" s="10" t="n"/>
      <c r="P142" s="10" t="n"/>
      <c r="Q142" s="10" t="n"/>
      <c r="R142" s="10" t="n"/>
      <c r="S142" s="10" t="n"/>
      <c r="T142" s="10" t="n"/>
      <c r="U142" s="10" t="n"/>
      <c r="V142" s="10" t="n"/>
      <c r="W142" s="10" t="n"/>
      <c r="X142" s="10" t="n"/>
      <c r="Y142" s="10" t="n"/>
      <c r="Z142" s="10" t="inlineStr">
        <is>
          <t>Pengembangan teknik serangan rekonstruksi niat pengguna (IntentMiner / Intent Inversion Attack) melalui analisis metadata pemanggilan tool MCP.</t>
        </is>
      </c>
      <c r="AA142" s="11">
        <f>IF(I142="","",IF(OR(I142="attack",I142="survey_review",I142="benchmark_measurement",I142="position_other",I142="not_defense"),"n/a",IF(OR(X142="spec_normatif",X142="produksi_bukti_publik"),"L3",IF(ISNUMBER(SEARCH("independent",R142)),"L2",IF(R142="author_run","L1",IF(R142="none","L0",""))))))</f>
        <v/>
      </c>
      <c r="AB142" s="11">
        <f>IF(I142="","",IF(AND(K142="deterministic_policy",M142="ya"),"PERIKSA: deterministic_policy tetapi LLM/ML ada dalam keputusan. ","")&amp;IF(AND(U142="ya",V142=""),"PERIKSA: adaptif=ya wajib ada kutipan. ","")&amp;IF(AND(R142="none",U142&lt;&gt;"n/a_tanpa_evaluasi",U142&lt;&gt;""),"PERIKSA: tanpa evaluasi, adaptif harus n/a. ","")&amp;IF(AND(OR(R142="author_run",R142="author_run+independent",R142="independent_only"),Q142=""),"PERIKSA: isi kelas_dievaluasi. ","")&amp;IF(AND(OR(R142="author_run",R142="author_run+independent",R142="independent_only"),W142=""),"PERIKSA: isi lokasi_bukti. ","")&amp;IF(AND(H142="tidak",R142&lt;&gt;""),"PERIKSA: tanpa teks lengkap, kosongkan kolom evaluasi. ",""))</f>
        <v/>
      </c>
      <c r="AC142" t="inlineStr">
        <is>
          <t>include</t>
        </is>
      </c>
    </row>
    <row r="143" ht="292.5" customHeight="1" s="21">
      <c r="A143" s="8" t="inlineStr">
        <is>
          <t>yuval-2026-tool-orchestration-code-execution-study</t>
        </is>
      </c>
      <c r="B143" s="8" t="inlineStr">
        <is>
          <t>From Tool Orchestration to Code Execution: A Study of MCP Design Choices</t>
        </is>
      </c>
      <c r="C143" s="8" t="n">
        <v>2026</v>
      </c>
      <c r="D143" s="8" t="inlineStr">
        <is>
          <t>E2</t>
        </is>
      </c>
      <c r="E143" s="8" t="inlineStr">
        <is>
          <t>scan_cepat</t>
        </is>
      </c>
      <c r="F143" s="8" t="inlineStr">
        <is>
          <t>none</t>
        </is>
      </c>
      <c r="G143" s="9" t="inlineStr">
        <is>
          <t>https://arxiv.org/abs/2602.15945</t>
        </is>
      </c>
      <c r="H143" s="10" t="inlineStr">
        <is>
          <t>ya</t>
        </is>
      </c>
      <c r="I143" s="10" t="inlineStr">
        <is>
          <t>defense_secondary</t>
        </is>
      </c>
      <c r="J143" s="10" t="inlineStr">
        <is>
          <t>CE-MCP</t>
        </is>
      </c>
      <c r="K143" s="10" t="inlineStr">
        <is>
          <t>isolation_containment</t>
        </is>
      </c>
      <c r="L143" s="10" t="inlineStr">
        <is>
          <t>Arsitektur eksekusi kode terisolasi (CE-MCP) yang mendelegasikan orkestrasi alat MCP ke dalam runtime sandbox untuk mengisolasi batas kepercayaan dan memitigasi eksploitasi konteks.</t>
        </is>
      </c>
      <c r="M143" s="10" t="inlineStr">
        <is>
          <t>tidak</t>
        </is>
      </c>
      <c r="N143" s="10" t="inlineStr">
        <is>
          <t>gateway_proxy</t>
        </is>
      </c>
      <c r="O143" s="10" t="inlineStr">
        <is>
          <t>R5;R6</t>
        </is>
      </c>
      <c r="P143" s="10" t="inlineStr">
        <is>
          <t>C5;D1</t>
        </is>
      </c>
      <c r="Q143" s="10" t="inlineStr">
        <is>
          <t>C5;D1</t>
        </is>
      </c>
      <c r="R143" s="10" t="inlineStr">
        <is>
          <t>author_run</t>
        </is>
      </c>
      <c r="S143" s="10" t="n"/>
      <c r="T143" s="10" t="inlineStr">
        <is>
          <t>third_party_public</t>
        </is>
      </c>
      <c r="U143" s="10" t="inlineStr">
        <is>
          <t>tidak</t>
        </is>
      </c>
      <c r="V143" s="10" t="n"/>
      <c r="W143" s="10" t="inlineStr">
        <is>
          <t>Sec. 6, Table 2-4, hal. 7-10</t>
        </is>
      </c>
      <c r="X143" s="10" t="inlineStr">
        <is>
          <t>none</t>
        </is>
      </c>
      <c r="Y143" s="10" t="inlineStr">
        <is>
          <t>dilaporkan: penghematan konsumsi token dan waktu eksekusi (Sec. 6.2)</t>
        </is>
      </c>
      <c r="Z143" s="10" t="inlineStr">
        <is>
          <t>Studi komparasi orkestrasi MCP vs eksekusi kode terisolasi sandbox (CE-MCP) pada benchmark MCP-Bench. Catatan deployment: prototipe internal/eksperimental (belum dirilis secara publik).</t>
        </is>
      </c>
      <c r="AA143" s="11">
        <f>IF(I143="","",IF(OR(I143="attack",I143="survey_review",I143="benchmark_measurement",I143="position_other",I143="not_defense"),"n/a",IF(OR(X143="spec_normatif",X143="produksi_bukti_publik"),"L3",IF(ISNUMBER(SEARCH("independent",R143)),"L2",IF(R143="author_run","L1",IF(R143="none","L0",""))))))</f>
        <v/>
      </c>
      <c r="AB143" s="11">
        <f>IF(I143="","",IF(AND(K143="deterministic_policy",M143="ya"),"PERIKSA: deterministic_policy tetapi LLM/ML ada dalam keputusan. ","")&amp;IF(AND(U143="ya",V143=""),"PERIKSA: adaptif=ya wajib ada kutipan. ","")&amp;IF(AND(R143="none",U143&lt;&gt;"n/a_tanpa_evaluasi",U143&lt;&gt;""),"PERIKSA: tanpa evaluasi, adaptif harus n/a. ","")&amp;IF(AND(OR(R143="author_run",R143="author_run+independent",R143="independent_only"),Q143=""),"PERIKSA: isi kelas_dievaluasi. ","")&amp;IF(AND(OR(R143="author_run",R143="author_run+independent",R143="independent_only"),W143=""),"PERIKSA: isi lokasi_bukti. ","")&amp;IF(AND(H143="tidak",R143&lt;&gt;""),"PERIKSA: tanpa teks lengkap, kosongkan kolom evaluasi. ",""))</f>
        <v/>
      </c>
      <c r="AC143" t="inlineStr">
        <is>
          <t>include</t>
        </is>
      </c>
    </row>
    <row r="144" ht="202.5" customHeight="1" s="21">
      <c r="A144" s="8" t="inlineStr">
        <is>
          <t>zeynab-2026-security-threat-modeling-emerging-ai</t>
        </is>
      </c>
      <c r="B144" s="8" t="inlineStr">
        <is>
          <t>Security Threat Modeling for Emerging AI-Agent Protocols: A Comparative Analysis of MCP, A2A, Agora, and ANP</t>
        </is>
      </c>
      <c r="C144" s="8" t="n">
        <v>2026</v>
      </c>
      <c r="D144" s="8" t="inlineStr">
        <is>
          <t>E2</t>
        </is>
      </c>
      <c r="E144" s="8" t="inlineStr">
        <is>
          <t>scan_cepat</t>
        </is>
      </c>
      <c r="F144" s="8" t="inlineStr">
        <is>
          <t>none</t>
        </is>
      </c>
      <c r="G144" s="9" t="inlineStr">
        <is>
          <t>https://arxiv.org/abs/2602.11327</t>
        </is>
      </c>
      <c r="H144" s="10" t="n"/>
      <c r="I144" s="10" t="inlineStr">
        <is>
          <t>survey_review</t>
        </is>
      </c>
      <c r="J144" s="10" t="n"/>
      <c r="K144" s="10" t="n"/>
      <c r="L144" s="10" t="n"/>
      <c r="M144" s="10" t="n"/>
      <c r="N144" s="10" t="n"/>
      <c r="O144" s="10" t="n"/>
      <c r="P144" s="10" t="n"/>
      <c r="Q144" s="10" t="n"/>
      <c r="R144" s="10" t="n"/>
      <c r="S144" s="10" t="n"/>
      <c r="T144" s="10" t="n"/>
      <c r="U144" s="10" t="n"/>
      <c r="V144" s="10" t="n"/>
      <c r="W144" s="10" t="n"/>
      <c r="X144" s="10" t="n"/>
      <c r="Y144" s="10" t="n"/>
      <c r="Z144" s="10" t="inlineStr">
        <is>
          <t>Analisis pemodelan ancaman komparatif dan kerangka penilaian risiko kualitatif pada protokol komunikasi agen (MCP, A2A, Agora, ANP).</t>
        </is>
      </c>
      <c r="AA144" s="11">
        <f>IF(I144="","",IF(OR(I144="attack",I144="survey_review",I144="benchmark_measurement",I144="position_other",I144="not_defense"),"n/a",IF(OR(X144="spec_normatif",X144="produksi_bukti_publik"),"L3",IF(ISNUMBER(SEARCH("independent",R144)),"L2",IF(R144="author_run","L1",IF(R144="none","L0",""))))))</f>
        <v/>
      </c>
      <c r="AB144" s="11">
        <f>IF(I144="","",IF(AND(K144="deterministic_policy",M144="ya"),"PERIKSA: deterministic_policy tetapi LLM/ML ada dalam keputusan. ","")&amp;IF(AND(U144="ya",V144=""),"PERIKSA: adaptif=ya wajib ada kutipan. ","")&amp;IF(AND(R144="none",U144&lt;&gt;"n/a_tanpa_evaluasi",U144&lt;&gt;""),"PERIKSA: tanpa evaluasi, adaptif harus n/a. ","")&amp;IF(AND(OR(R144="author_run",R144="author_run+independent",R144="independent_only"),Q144=""),"PERIKSA: isi kelas_dievaluasi. ","")&amp;IF(AND(OR(R144="author_run",R144="author_run+independent",R144="independent_only"),W144=""),"PERIKSA: isi lokasi_bukti. ","")&amp;IF(AND(H144="tidak",R144&lt;&gt;""),"PERIKSA: tanpa teks lengkap, kosongkan kolom evaluasi. ",""))</f>
        <v/>
      </c>
      <c r="AC144" t="inlineStr">
        <is>
          <t>include</t>
        </is>
      </c>
    </row>
    <row r="145" ht="202.5" customHeight="1" s="21">
      <c r="A145" s="8" t="inlineStr">
        <is>
          <t>zheng-2026-mpma-preference-manipulation-attack-model</t>
        </is>
      </c>
      <c r="B145" s="8" t="inlineStr">
        <is>
          <t>MPMA: Preference Manipulation Attack Against Model Context Protocol</t>
        </is>
      </c>
      <c r="C145" s="8" t="n">
        <v>2026</v>
      </c>
      <c r="D145" s="8" t="inlineStr">
        <is>
          <t>E1</t>
        </is>
      </c>
      <c r="E145" s="8" t="inlineStr">
        <is>
          <t>scan_cepat</t>
        </is>
      </c>
      <c r="F145" s="8" t="inlineStr">
        <is>
          <t>none</t>
        </is>
      </c>
      <c r="G145" s="9" t="inlineStr">
        <is>
          <t>https://doi.org/10.1609/aaai.v40i42.40898</t>
        </is>
      </c>
      <c r="H145" s="10" t="n"/>
      <c r="I145" s="10" t="inlineStr">
        <is>
          <t>attack</t>
        </is>
      </c>
      <c r="J145" s="10" t="n"/>
      <c r="K145" s="10" t="n"/>
      <c r="L145" s="10" t="n"/>
      <c r="M145" s="10" t="n"/>
      <c r="N145" s="10" t="n"/>
      <c r="O145" s="10" t="n"/>
      <c r="P145" s="10" t="n"/>
      <c r="Q145" s="10" t="n"/>
      <c r="R145" s="10" t="n"/>
      <c r="S145" s="10" t="n"/>
      <c r="T145" s="10" t="n"/>
      <c r="U145" s="10" t="n"/>
      <c r="V145" s="10" t="n"/>
      <c r="W145" s="10" t="n"/>
      <c r="X145" s="10" t="n"/>
      <c r="Y145" s="10" t="n"/>
      <c r="Z145" s="10" t="inlineStr">
        <is>
          <t>Perancangan teknik serangan manipulasi preferensi seleksi tool (MPMA/GAPMA) pada ekosistem server MCP tanpa mitigasi yang diuji.</t>
        </is>
      </c>
      <c r="AA145" s="11">
        <f>IF(I145="","",IF(OR(I145="attack",I145="survey_review",I145="benchmark_measurement",I145="position_other",I145="not_defense"),"n/a",IF(OR(X145="spec_normatif",X145="produksi_bukti_publik"),"L3",IF(ISNUMBER(SEARCH("independent",R145)),"L2",IF(R145="author_run","L1",IF(R145="none","L0",""))))))</f>
        <v/>
      </c>
      <c r="AB145" s="11">
        <f>IF(I145="","",IF(AND(K145="deterministic_policy",M145="ya"),"PERIKSA: deterministic_policy tetapi LLM/ML ada dalam keputusan. ","")&amp;IF(AND(U145="ya",V145=""),"PERIKSA: adaptif=ya wajib ada kutipan. ","")&amp;IF(AND(R145="none",U145&lt;&gt;"n/a_tanpa_evaluasi",U145&lt;&gt;""),"PERIKSA: tanpa evaluasi, adaptif harus n/a. ","")&amp;IF(AND(OR(R145="author_run",R145="author_run+independent",R145="independent_only"),Q145=""),"PERIKSA: isi kelas_dievaluasi. ","")&amp;IF(AND(OR(R145="author_run",R145="author_run+independent",R145="independent_only"),W145=""),"PERIKSA: isi lokasi_bukti. ","")&amp;IF(AND(H145="tidak",R145&lt;&gt;""),"PERIKSA: tanpa teks lengkap, kosongkan kolom evaluasi. ",""))</f>
        <v/>
      </c>
      <c r="AC145" t="inlineStr">
        <is>
          <t>include</t>
        </is>
      </c>
    </row>
    <row r="146" ht="180" customHeight="1" s="21">
      <c r="A146" s="8" t="inlineStr">
        <is>
          <t>zhihao-2025-we-urgently-need-privilege-management</t>
        </is>
      </c>
      <c r="B146" s="8" t="inlineStr">
        <is>
          <t>We Urgently Need Privilege Management in MCP: A Measurement of API Usage in MCP Ecosystems</t>
        </is>
      </c>
      <c r="C146" s="8" t="n">
        <v>2025</v>
      </c>
      <c r="D146" s="8" t="inlineStr">
        <is>
          <t>E1</t>
        </is>
      </c>
      <c r="E146" s="8" t="inlineStr">
        <is>
          <t>scan_cepat</t>
        </is>
      </c>
      <c r="F146" s="8" t="inlineStr">
        <is>
          <t>none</t>
        </is>
      </c>
      <c r="G146" s="9" t="inlineStr">
        <is>
          <t>https://arxiv.org/abs/2507.06250</t>
        </is>
      </c>
      <c r="H146" s="10" t="n"/>
      <c r="I146" s="10" t="inlineStr">
        <is>
          <t>benchmark_measurement</t>
        </is>
      </c>
      <c r="J146" s="10" t="n"/>
      <c r="K146" s="10" t="n"/>
      <c r="L146" s="10" t="n"/>
      <c r="M146" s="10" t="n"/>
      <c r="N146" s="10" t="n"/>
      <c r="O146" s="10" t="n"/>
      <c r="P146" s="10" t="n"/>
      <c r="Q146" s="10" t="n"/>
      <c r="R146" s="10" t="n"/>
      <c r="S146" s="10" t="n"/>
      <c r="T146" s="10" t="n"/>
      <c r="U146" s="10" t="n"/>
      <c r="V146" s="10" t="n"/>
      <c r="W146" s="10" t="n"/>
      <c r="X146" s="10" t="n"/>
      <c r="Y146" s="10" t="n"/>
      <c r="Z146" s="10" t="inlineStr">
        <is>
          <t>Studi pengukuran empiris penggunaan API dan analisis risiko hak istimewa (privilege management) pada 2.562 server MCP.</t>
        </is>
      </c>
      <c r="AA146" s="11">
        <f>IF(I146="","",IF(OR(I146="attack",I146="survey_review",I146="benchmark_measurement",I146="position_other",I146="not_defense"),"n/a",IF(OR(X146="spec_normatif",X146="produksi_bukti_publik"),"L3",IF(ISNUMBER(SEARCH("independent",R146)),"L2",IF(R146="author_run","L1",IF(R146="none","L0",""))))))</f>
        <v/>
      </c>
      <c r="AB146" s="11">
        <f>IF(I146="","",IF(AND(K146="deterministic_policy",M146="ya"),"PERIKSA: deterministic_policy tetapi LLM/ML ada dalam keputusan. ","")&amp;IF(AND(U146="ya",V146=""),"PERIKSA: adaptif=ya wajib ada kutipan. ","")&amp;IF(AND(R146="none",U146&lt;&gt;"n/a_tanpa_evaluasi",U146&lt;&gt;""),"PERIKSA: tanpa evaluasi, adaptif harus n/a. ","")&amp;IF(AND(OR(R146="author_run",R146="author_run+independent",R146="independent_only"),Q146=""),"PERIKSA: isi kelas_dievaluasi. ","")&amp;IF(AND(OR(R146="author_run",R146="author_run+independent",R146="independent_only"),W146=""),"PERIKSA: isi lokasi_bukti. ","")&amp;IF(AND(H146="tidak",R146&lt;&gt;""),"PERIKSA: tanpa teks lengkap, kosongkan kolom evaluasi. ",""))</f>
        <v/>
      </c>
      <c r="AC146" t="inlineStr">
        <is>
          <t>include</t>
        </is>
      </c>
    </row>
    <row r="147" ht="191.25" customHeight="1" s="21">
      <c r="A147" s="8" t="inlineStr">
        <is>
          <t>zhihao-2026-don-believe-everything-you-read</t>
        </is>
      </c>
      <c r="B147" s="8" t="inlineStr">
        <is>
          <t>Don't believe everything you read: Understanding and Measuring MCP Behavior under Misleading Tool Descriptions</t>
        </is>
      </c>
      <c r="C147" s="8" t="n">
        <v>2026</v>
      </c>
      <c r="D147" s="8" t="inlineStr">
        <is>
          <t>E2</t>
        </is>
      </c>
      <c r="E147" s="8" t="inlineStr">
        <is>
          <t>scan_cepat</t>
        </is>
      </c>
      <c r="F147" s="8" t="inlineStr">
        <is>
          <t>none</t>
        </is>
      </c>
      <c r="G147" s="9" t="inlineStr">
        <is>
          <t>https://arxiv.org/abs/2602.03580</t>
        </is>
      </c>
      <c r="H147" s="10" t="n"/>
      <c r="I147" s="10" t="inlineStr">
        <is>
          <t>benchmark_measurement</t>
        </is>
      </c>
      <c r="J147" s="10" t="n"/>
      <c r="K147" s="10" t="n"/>
      <c r="L147" s="10" t="n"/>
      <c r="M147" s="10" t="n"/>
      <c r="N147" s="10" t="n"/>
      <c r="O147" s="10" t="n"/>
      <c r="P147" s="10" t="n"/>
      <c r="Q147" s="10" t="n"/>
      <c r="R147" s="10" t="n"/>
      <c r="S147" s="10" t="n"/>
      <c r="T147" s="10" t="n"/>
      <c r="U147" s="10" t="n"/>
      <c r="V147" s="10" t="n"/>
      <c r="W147" s="10" t="n"/>
      <c r="X147" s="10" t="n"/>
      <c r="Y147" s="10" t="n"/>
      <c r="Z147" s="10" t="inlineStr">
        <is>
          <t>Studi pengukuran empiris skala besar mengenai inkonsistensi antara deskripsi tool dan kode implementasi pada 10.240 server MCP.</t>
        </is>
      </c>
      <c r="AA147" s="11">
        <f>IF(I147="","",IF(OR(I147="attack",I147="survey_review",I147="benchmark_measurement",I147="position_other",I147="not_defense"),"n/a",IF(OR(X147="spec_normatif",X147="produksi_bukti_publik"),"L3",IF(ISNUMBER(SEARCH("independent",R147)),"L2",IF(R147="author_run","L1",IF(R147="none","L0",""))))))</f>
        <v/>
      </c>
      <c r="AB147" s="11">
        <f>IF(I147="","",IF(AND(K147="deterministic_policy",M147="ya"),"PERIKSA: deterministic_policy tetapi LLM/ML ada dalam keputusan. ","")&amp;IF(AND(U147="ya",V147=""),"PERIKSA: adaptif=ya wajib ada kutipan. ","")&amp;IF(AND(R147="none",U147&lt;&gt;"n/a_tanpa_evaluasi",U147&lt;&gt;""),"PERIKSA: tanpa evaluasi, adaptif harus n/a. ","")&amp;IF(AND(OR(R147="author_run",R147="author_run+independent",R147="independent_only"),Q147=""),"PERIKSA: isi kelas_dievaluasi. ","")&amp;IF(AND(OR(R147="author_run",R147="author_run+independent",R147="independent_only"),W147=""),"PERIKSA: isi lokasi_bukti. ","")&amp;IF(AND(H147="tidak",R147&lt;&gt;""),"PERIKSA: tanpa teks lengkap, kosongkan kolom evaluasi. ",""))</f>
        <v/>
      </c>
      <c r="AC147" t="inlineStr">
        <is>
          <t>include</t>
        </is>
      </c>
    </row>
    <row r="148" ht="213.75" customHeight="1" s="21">
      <c r="A148" s="8" t="inlineStr">
        <is>
          <t>zhiqiang-2025-mcptox-benchmark-tool-poisoning-attack</t>
        </is>
      </c>
      <c r="B148" s="8" t="inlineStr">
        <is>
          <t>MCPTox: A Benchmark for Tool Poisoning Attack on Real-World MCP Servers</t>
        </is>
      </c>
      <c r="C148" s="8" t="n">
        <v>2025</v>
      </c>
      <c r="D148" s="8" t="inlineStr">
        <is>
          <t>E1</t>
        </is>
      </c>
      <c r="E148" s="8" t="inlineStr">
        <is>
          <t>scan_cepat</t>
        </is>
      </c>
      <c r="F148" s="8" t="inlineStr">
        <is>
          <t>none</t>
        </is>
      </c>
      <c r="G148" s="9" t="inlineStr">
        <is>
          <t>https://arxiv.org/abs/2508.14925</t>
        </is>
      </c>
      <c r="H148" s="10" t="n"/>
      <c r="I148" s="10" t="inlineStr">
        <is>
          <t>benchmark_measurement</t>
        </is>
      </c>
      <c r="J148" s="10" t="n"/>
      <c r="K148" s="10" t="n"/>
      <c r="L148" s="10" t="n"/>
      <c r="M148" s="10" t="n"/>
      <c r="N148" s="10" t="n"/>
      <c r="O148" s="10" t="n"/>
      <c r="P148" s="10" t="n"/>
      <c r="Q148" s="10" t="n"/>
      <c r="R148" s="10" t="n"/>
      <c r="S148" s="10" t="n"/>
      <c r="T148" s="10" t="n"/>
      <c r="U148" s="10" t="n"/>
      <c r="V148" s="10" t="n"/>
      <c r="W148" s="10" t="n"/>
      <c r="X148" s="10" t="n"/>
      <c r="Y148" s="10" t="n"/>
      <c r="Z148" s="10" t="inlineStr">
        <is>
          <t>Tolok ukur keamanan (MCPTox) dan dataset 1.312 kasus uji untuk mengevaluasi kerentanan agen terhadap tool poisoning pada MCP.</t>
        </is>
      </c>
      <c r="AA148" s="11">
        <f>IF(I148="","",IF(OR(I148="attack",I148="survey_review",I148="benchmark_measurement",I148="position_other",I148="not_defense"),"n/a",IF(OR(X148="spec_normatif",X148="produksi_bukti_publik"),"L3",IF(ISNUMBER(SEARCH("independent",R148)),"L2",IF(R148="author_run","L1",IF(R148="none","L0",""))))))</f>
        <v/>
      </c>
      <c r="AB148" s="11">
        <f>IF(I148="","",IF(AND(K148="deterministic_policy",M148="ya"),"PERIKSA: deterministic_policy tetapi LLM/ML ada dalam keputusan. ","")&amp;IF(AND(U148="ya",V148=""),"PERIKSA: adaptif=ya wajib ada kutipan. ","")&amp;IF(AND(R148="none",U148&lt;&gt;"n/a_tanpa_evaluasi",U148&lt;&gt;""),"PERIKSA: tanpa evaluasi, adaptif harus n/a. ","")&amp;IF(AND(OR(R148="author_run",R148="author_run+independent",R148="independent_only"),Q148=""),"PERIKSA: isi kelas_dievaluasi. ","")&amp;IF(AND(OR(R148="author_run",R148="author_run+independent",R148="independent_only"),W148=""),"PERIKSA: isi lokasi_bukti. ","")&amp;IF(AND(H148="tidak",R148&lt;&gt;""),"PERIKSA: tanpa teks lengkap, kosongkan kolom evaluasi. ",""))</f>
        <v/>
      </c>
      <c r="AC148" t="inlineStr">
        <is>
          <t>include</t>
        </is>
      </c>
    </row>
    <row r="149" ht="213.75" customHeight="1" s="21">
      <c r="A149" s="8" t="inlineStr">
        <is>
          <t>zhiyuan-2026-confused-deputy-attack-model-context</t>
        </is>
      </c>
      <c r="B149" s="8" t="inlineStr">
        <is>
          <t>Confused Deputy Attack Against Model Context Protocol</t>
        </is>
      </c>
      <c r="C149" s="8" t="n">
        <v>2026</v>
      </c>
      <c r="D149" s="8" t="inlineStr">
        <is>
          <t>E1</t>
        </is>
      </c>
      <c r="E149" s="8" t="inlineStr">
        <is>
          <t>scan_cepat</t>
        </is>
      </c>
      <c r="F149" s="8" t="inlineStr">
        <is>
          <t>none</t>
        </is>
      </c>
      <c r="G149" s="9" t="inlineStr">
        <is>
          <t>https://doi.org/10.1145/3830467</t>
        </is>
      </c>
      <c r="H149" s="10" t="inlineStr">
        <is>
          <t>ya</t>
        </is>
      </c>
      <c r="I149" s="10" t="inlineStr">
        <is>
          <t>attack</t>
        </is>
      </c>
      <c r="J149" s="10" t="n"/>
      <c r="K149" s="10" t="n"/>
      <c r="L149" s="10" t="n"/>
      <c r="M149" s="10" t="n"/>
      <c r="N149" s="10" t="n"/>
      <c r="O149" s="10" t="n"/>
      <c r="P149" s="10" t="inlineStr">
        <is>
          <t>A1;A3</t>
        </is>
      </c>
      <c r="Q149" s="10" t="inlineStr">
        <is>
          <t>A1;A3</t>
        </is>
      </c>
      <c r="R149" s="10" t="n"/>
      <c r="S149" s="10" t="n"/>
      <c r="T149" s="10" t="n"/>
      <c r="U149" s="10" t="n"/>
      <c r="V149" s="10" t="n"/>
      <c r="W149" s="10" t="n"/>
      <c r="X149" s="10" t="n"/>
      <c r="Y149" s="10" t="n"/>
      <c r="Z149" s="10" t="inlineStr">
        <is>
          <t>Puppet (ACM TOSEM). Penulis melabeli serangan sebagai Confused Deputy, namun mekanisme teknisnya adalah pembajakan seleksi tool via rekayasa deskripsi/skema (A1/A3) tanpa eksploitasi wewenang sesi perantara. Evaluator independen bagi McpSafetyScanner (Tabel 8, DER 20-36%).</t>
        </is>
      </c>
      <c r="AA149" s="11">
        <f>IF(I149="","",IF(OR(I149="attack",I149="survey_review",I149="benchmark_measurement",I149="position_other",I149="not_defense"),"n/a",IF(OR(X149="spec_normatif",X149="produksi_bukti_publik"),"L3",IF(ISNUMBER(SEARCH("independent",R149)),"L2",IF(R149="author_run","L1",IF(R149="none","L0",""))))))</f>
        <v/>
      </c>
      <c r="AB149" s="11">
        <f>IF(I149="","",IF(AND(K149="deterministic_policy",M149="ya"),"PERIKSA: deterministic_policy tetapi LLM/ML ada dalam keputusan. ","")&amp;IF(AND(U149="ya",V149=""),"PERIKSA: adaptif=ya wajib ada kutipan. ","")&amp;IF(AND(R149="none",U149&lt;&gt;"n/a_tanpa_evaluasi",U149&lt;&gt;""),"PERIKSA: tanpa evaluasi, adaptif harus n/a. ","")&amp;IF(AND(OR(R149="author_run",R149="author_run+independent",R149="independent_only"),Q149=""),"PERIKSA: isi kelas_dievaluasi. ","")&amp;IF(AND(OR(R149="author_run",R149="author_run+independent",R149="independent_only"),W149=""),"PERIKSA: isi lokasi_bukti. ","")&amp;IF(AND(H149="tidak",R149&lt;&gt;""),"PERIKSA: tanpa teks lengkap, kosongkan kolom evaluasi. ",""))</f>
        <v/>
      </c>
      <c r="AC149" t="inlineStr">
        <is>
          <t>include</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56"/>
  <sheetViews>
    <sheetView zoomScaleNormal="100" workbookViewId="0">
      <selection activeCell="A1" sqref="A1"/>
    </sheetView>
  </sheetViews>
  <sheetFormatPr baseColWidth="8" defaultColWidth="8.6328125" defaultRowHeight="14.5"/>
  <sheetData>
    <row r="1" ht="15" customHeight="1" s="21">
      <c r="A1" s="16" t="inlineStr">
        <is>
          <t>RINGKASAN KORPUS FINAL 148 (v5) - dihitung dari sheet Koding_Korpus148 (penyebut: 148)</t>
        </is>
      </c>
    </row>
    <row r="3" ht="15" customHeight="1" s="21">
      <c r="A3" s="16" t="inlineStr">
        <is>
          <t>A. Kemajuan</t>
        </is>
      </c>
    </row>
    <row r="4" ht="15" customHeight="1" s="21">
      <c r="A4" s="20" t="inlineStr">
        <is>
          <t>Total baris</t>
        </is>
      </c>
      <c r="B4" s="20">
        <f>COUNTA(Koding_Korpus148!$A$2:$A$149)</f>
        <v/>
      </c>
      <c r="C4" s="20" t="n"/>
    </row>
    <row r="5" ht="15" customHeight="1" s="21">
      <c r="A5" s="20" t="inlineStr">
        <is>
          <t>Baris sudah diberi peran</t>
        </is>
      </c>
      <c r="B5" s="20">
        <f>COUNTA(Koding_Korpus148!$I$2:$I$149)</f>
        <v/>
      </c>
      <c r="C5" s="20" t="n"/>
    </row>
    <row r="6" ht="15" customHeight="1" s="21">
      <c r="A6" s="20" t="inlineStr">
        <is>
          <t>Baris dengan PERIKSA di cek_konsistensi</t>
        </is>
      </c>
      <c r="B6" s="20">
        <f>COUNTIF(Koding_Korpus148!$AB$2:$AB$149,"PERIKSA*")</f>
        <v/>
      </c>
      <c r="C6" s="20" t="inlineStr">
        <is>
          <t>Harus 0 sebelum angka dikutip</t>
        </is>
      </c>
    </row>
    <row r="8" ht="15" customHeight="1" s="21">
      <c r="A8" s="16" t="inlineStr">
        <is>
          <t>B. Peran</t>
        </is>
      </c>
    </row>
    <row r="9" ht="15" customHeight="1" s="21">
      <c r="A9" s="20" t="inlineStr">
        <is>
          <t>defense_primary</t>
        </is>
      </c>
      <c r="B9" s="20">
        <f>COUNTIF(Koding_Korpus148!$I$2:$I$149,"defense_primary")</f>
        <v/>
      </c>
      <c r="C9" s="20" t="n"/>
    </row>
    <row r="10" ht="15" customHeight="1" s="21">
      <c r="A10" s="20" t="inlineStr">
        <is>
          <t>defense_secondary</t>
        </is>
      </c>
      <c r="B10" s="20">
        <f>COUNTIF(Koding_Korpus148!$I$2:$I$149,"defense_secondary")</f>
        <v/>
      </c>
      <c r="C10" s="20" t="n"/>
    </row>
    <row r="11" ht="15" customHeight="1" s="21">
      <c r="A11" s="20" t="inlineStr">
        <is>
          <t>proposal_only</t>
        </is>
      </c>
      <c r="B11" s="20">
        <f>COUNTIF(Koding_Korpus148!$I$2:$I$149,"proposal_only")</f>
        <v/>
      </c>
      <c r="C11" s="20" t="n"/>
    </row>
    <row r="12" ht="15" customHeight="1" s="21">
      <c r="A12" s="20" t="inlineStr">
        <is>
          <t>attack</t>
        </is>
      </c>
      <c r="B12" s="20">
        <f>COUNTIF(Koding_Korpus148!$I$2:$I$149,"attack")</f>
        <v/>
      </c>
      <c r="C12" s="20" t="n"/>
    </row>
    <row r="13" ht="15" customHeight="1" s="21">
      <c r="A13" s="20" t="inlineStr">
        <is>
          <t>survey_review</t>
        </is>
      </c>
      <c r="B13" s="20">
        <f>COUNTIF(Koding_Korpus148!$I$2:$I$149,"survey_review")</f>
        <v/>
      </c>
      <c r="C13" s="20" t="n"/>
    </row>
    <row r="14" ht="15" customHeight="1" s="21">
      <c r="A14" s="20" t="inlineStr">
        <is>
          <t>benchmark_measurement</t>
        </is>
      </c>
      <c r="B14" s="20">
        <f>COUNTIF(Koding_Korpus148!$I$2:$I$149,"benchmark_measurement")</f>
        <v/>
      </c>
      <c r="C14" s="20" t="n"/>
    </row>
    <row r="15" ht="15" customHeight="1" s="21">
      <c r="A15" s="20" t="inlineStr">
        <is>
          <t>position_other</t>
        </is>
      </c>
      <c r="B15" s="20">
        <f>COUNTIF(Koding_Korpus148!$I$2:$I$149,"position_other")</f>
        <v/>
      </c>
      <c r="C15" s="20" t="n"/>
    </row>
    <row r="16" ht="15" customHeight="1" s="21">
      <c r="A16" s="20" t="inlineStr">
        <is>
          <t>not_defense</t>
        </is>
      </c>
      <c r="B16" s="20">
        <f>COUNTIF(Koding_Korpus148!$I$2:$I$149,"not_defense")</f>
        <v/>
      </c>
      <c r="C16" s="20" t="n"/>
    </row>
    <row r="17" ht="15" customHeight="1" s="21">
      <c r="A17" s="20" t="inlineStr">
        <is>
          <t>Bertanda pertahanan (primary+secondary+proposal_only)</t>
        </is>
      </c>
      <c r="B17" s="20">
        <f>B9+B10+B11</f>
        <v/>
      </c>
      <c r="C17" s="20" t="n"/>
    </row>
    <row r="19" ht="15" customHeight="1" s="21">
      <c r="A19" s="16" t="inlineStr">
        <is>
          <t>C. Maturitas (hanya entri bermaturitas; penyebut = L0+L1+L2)</t>
        </is>
      </c>
    </row>
    <row r="20" ht="15" customHeight="1" s="21">
      <c r="A20" s="20" t="inlineStr">
        <is>
          <t>L0</t>
        </is>
      </c>
      <c r="B20" s="20">
        <f>COUNTIF(Koding_Korpus148!$AA$2:$AA$149,"L0")</f>
        <v/>
      </c>
      <c r="C20" s="20" t="n"/>
    </row>
    <row r="21" ht="15" customHeight="1" s="21">
      <c r="A21" s="20" t="inlineStr">
        <is>
          <t>L1</t>
        </is>
      </c>
      <c r="B21" s="20">
        <f>COUNTIF(Koding_Korpus148!$AA$2:$AA$149,"L1")</f>
        <v/>
      </c>
      <c r="C21" s="20" t="n"/>
    </row>
    <row r="22" ht="15" customHeight="1" s="21">
      <c r="A22" s="20" t="inlineStr">
        <is>
          <t>L2</t>
        </is>
      </c>
      <c r="B22" s="20">
        <f>COUNTIF(Koding_Korpus148!$AA$2:$AA$149,"L2")</f>
        <v/>
      </c>
      <c r="C22" s="20" t="n"/>
    </row>
    <row r="23" ht="15" customHeight="1" s="21">
      <c r="A23" s="20" t="inlineStr">
        <is>
          <t>Penyebut L0-L2</t>
        </is>
      </c>
      <c r="B23" s="20">
        <f>B20+B21+B22</f>
        <v/>
      </c>
      <c r="C23" s="20" t="n"/>
    </row>
    <row r="24" ht="15" customHeight="1" s="21">
      <c r="A24" s="20" t="inlineStr">
        <is>
          <t>Persentase L0</t>
        </is>
      </c>
      <c r="B24" s="20">
        <f>IF($B$23=0,"",B20/$B$23)</f>
        <v/>
      </c>
      <c r="C24" s="20" t="n"/>
    </row>
    <row r="25" ht="15" customHeight="1" s="21">
      <c r="A25" s="20" t="inlineStr">
        <is>
          <t>Persentase L1</t>
        </is>
      </c>
      <c r="B25" s="20">
        <f>IF($B$23=0,"",B21/$B$23)</f>
        <v/>
      </c>
      <c r="C25" s="20" t="n"/>
    </row>
    <row r="26" ht="15" customHeight="1" s="21">
      <c r="A26" s="20" t="inlineStr">
        <is>
          <t>Persentase L2</t>
        </is>
      </c>
      <c r="B26" s="20">
        <f>IF($B$23=0,"",B22/$B$23)</f>
        <v/>
      </c>
      <c r="C26" s="20" t="n"/>
    </row>
    <row r="27" ht="15" customHeight="1" s="21">
      <c r="A27" s="20" t="inlineStr">
        <is>
          <t>L3 (dilaporkan terpisah)</t>
        </is>
      </c>
      <c r="B27" s="20">
        <f>COUNTIF(Koding_Korpus148!$AA$2:$AA$149,"L3")</f>
        <v/>
      </c>
      <c r="C27" s="20" t="inlineStr">
        <is>
          <t>Rujuk Tabel 15, bukan persentase literatur</t>
        </is>
      </c>
    </row>
    <row r="29" ht="15" customHeight="1" s="21">
      <c r="A29" s="16" t="inlineStr">
        <is>
          <t>D. Evaluasi adaptif (penyebut = entri dengan evaluasi empiris)</t>
        </is>
      </c>
    </row>
    <row r="30" ht="15" customHeight="1" s="21">
      <c r="A30" s="20" t="inlineStr">
        <is>
          <t>adaptif = ya</t>
        </is>
      </c>
      <c r="B30" s="20">
        <f>COUNTIF(Koding_Korpus148!$U$2:$U$149,"ya")</f>
        <v/>
      </c>
      <c r="C30" s="20" t="n"/>
    </row>
    <row r="31" ht="15" customHeight="1" s="21">
      <c r="A31" s="20" t="inlineStr">
        <is>
          <t>adaptif = tidak</t>
        </is>
      </c>
      <c r="B31" s="20">
        <f>COUNTIF(Koding_Korpus148!$U$2:$U$149,"tidak")</f>
        <v/>
      </c>
      <c r="C31" s="20" t="n"/>
    </row>
    <row r="32" ht="15" customHeight="1" s="21">
      <c r="A32" s="20" t="inlineStr">
        <is>
          <t>adaptif = tidak_jelas</t>
        </is>
      </c>
      <c r="B32" s="20">
        <f>COUNTIF(Koding_Korpus148!$U$2:$U$149,"tidak_jelas")</f>
        <v/>
      </c>
      <c r="C32" s="20" t="n"/>
    </row>
    <row r="33" ht="15" customHeight="1" s="21">
      <c r="A33" s="20" t="inlineStr">
        <is>
          <t>adaptif = n/a_tanpa_evaluasi</t>
        </is>
      </c>
      <c r="B33" s="20">
        <f>COUNTIF(Koding_Korpus148!$U$2:$U$149,"n/a_tanpa_evaluasi")</f>
        <v/>
      </c>
      <c r="C33" s="20" t="n"/>
    </row>
    <row r="34" ht="15" customHeight="1" s="21">
      <c r="A34" s="20" t="inlineStr">
        <is>
          <t>Penyebut (ya+tidak+tidak_jelas)</t>
        </is>
      </c>
      <c r="B34" s="20">
        <f>B30+B31+B32</f>
        <v/>
      </c>
      <c r="C34" s="20" t="n"/>
    </row>
    <row r="35" ht="15" customHeight="1" s="21">
      <c r="A35" s="20" t="inlineStr">
        <is>
          <t>Persentase adaptif = ya</t>
        </is>
      </c>
      <c r="B35" s="20">
        <f>IF(B34=0,"",B30/B34)</f>
        <v/>
      </c>
      <c r="C35" s="20" t="n"/>
    </row>
    <row r="36" ht="15" customHeight="1" s="21">
      <c r="A36" s="20" t="inlineStr">
        <is>
          <t>Entri dievaluasi independen</t>
        </is>
      </c>
      <c r="B36" s="20">
        <f>COUNTIF(Koding_Korpus148!$R$2:$R$149,"*independent*")</f>
        <v/>
      </c>
      <c r="C36" s="20" t="n"/>
    </row>
    <row r="37" ht="15" customHeight="1" s="21">
      <c r="A37" s="20" t="inlineStr">
        <is>
          <t>Entri melaporkan biaya utilitas (tidak kosong dan bukan not_reported)</t>
        </is>
      </c>
      <c r="B37" s="20">
        <f>COUNTIFS(Koding_Korpus148!$R$2:$R$149,"&lt;&gt;none",Koding_Korpus148!$R$2:$R$149,"&lt;&gt;",Koding_Korpus148!$Y$2:$Y$149,"?*",Koding_Korpus148!$Y$2:$Y$149,"&lt;&gt;not_reported")</f>
        <v/>
      </c>
      <c r="C37" s="20" t="inlineStr">
        <is>
          <t>Penyebut = entri dengan evaluasi empiris (B34)</t>
        </is>
      </c>
    </row>
    <row r="38" ht="15" customHeight="1" s="21">
      <c r="A38" t="inlineStr">
        <is>
          <t>Persentase melaporkan biaya utilitas</t>
        </is>
      </c>
      <c r="B38" s="17">
        <f>IF(B34=0,"",B37/B34)</f>
        <v/>
      </c>
    </row>
    <row r="39" ht="15" customHeight="1" s="21">
      <c r="A39" s="16" t="inlineStr">
        <is>
          <t>E. Kerangka Tabel 16 per kelas (dari kelas_diklaim / kelas_dievaluasi)</t>
        </is>
      </c>
    </row>
    <row r="40" ht="15" customHeight="1" s="21">
      <c r="A40" s="18" t="inlineStr">
        <is>
          <t>Kelas</t>
        </is>
      </c>
      <c r="B40" s="18" t="inlineStr">
        <is>
          <t>Diklaim</t>
        </is>
      </c>
      <c r="C40" s="18" t="inlineStr">
        <is>
          <t>Dievaluasi</t>
        </is>
      </c>
      <c r="D40" s="18" t="inlineStr">
        <is>
          <t>Dievaluasi L1</t>
        </is>
      </c>
      <c r="E40" s="18" t="inlineStr">
        <is>
          <t>Dievaluasi L2</t>
        </is>
      </c>
      <c r="F40" s="18" t="inlineStr">
        <is>
          <t>Dievaluasi L3</t>
        </is>
      </c>
      <c r="G40" s="18" t="inlineStr">
        <is>
          <t>Adaptif = ya</t>
        </is>
      </c>
    </row>
    <row r="41" ht="15" customHeight="1" s="21">
      <c r="A41" s="20" t="inlineStr">
        <is>
          <t>A1</t>
        </is>
      </c>
      <c r="B41" s="20">
        <f>COUNTIF(Koding_Korpus148!$P$2:$P$149,"*A1*")</f>
        <v/>
      </c>
      <c r="C41" s="20">
        <f>COUNTIF(Koding_Korpus148!$Q$2:$Q$149,"*A1*")</f>
        <v/>
      </c>
      <c r="D41" s="20">
        <f>COUNTIFS(Koding_Korpus148!$Q$2:$Q$149,"*A1*",Koding_Korpus148!$AA$2:$AA$149,"L1")</f>
        <v/>
      </c>
      <c r="E41" s="20">
        <f>COUNTIFS(Koding_Korpus148!$Q$2:$Q$149,"*A1*",Koding_Korpus148!$AA$2:$AA$149,"L2")</f>
        <v/>
      </c>
      <c r="F41" s="20">
        <f>COUNTIFS(Koding_Korpus148!$Q$2:$Q$149,"*A1*",Koding_Korpus148!$AA$2:$AA$149,"L3")</f>
        <v/>
      </c>
      <c r="G41" s="20">
        <f>COUNTIFS(Koding_Korpus148!$Q$2:$Q$149,"*A1*",Koding_Korpus148!$U$2:$U$149,"ya")</f>
        <v/>
      </c>
    </row>
    <row r="42" ht="15" customHeight="1" s="21">
      <c r="A42" s="20" t="inlineStr">
        <is>
          <t>A2</t>
        </is>
      </c>
      <c r="B42" s="20">
        <f>COUNTIF(Koding_Korpus148!$P$2:$P$149,"*A2*")</f>
        <v/>
      </c>
      <c r="C42" s="20">
        <f>COUNTIF(Koding_Korpus148!$Q$2:$Q$149,"*A2*")</f>
        <v/>
      </c>
      <c r="D42" s="20">
        <f>COUNTIFS(Koding_Korpus148!$Q$2:$Q$149,"*A2*",Koding_Korpus148!$AA$2:$AA$149,"L1")</f>
        <v/>
      </c>
      <c r="E42" s="20">
        <f>COUNTIFS(Koding_Korpus148!$Q$2:$Q$149,"*A2*",Koding_Korpus148!$AA$2:$AA$149,"L2")</f>
        <v/>
      </c>
      <c r="F42" s="20">
        <f>COUNTIFS(Koding_Korpus148!$Q$2:$Q$149,"*A2*",Koding_Korpus148!$AA$2:$AA$149,"L3")</f>
        <v/>
      </c>
      <c r="G42" s="20">
        <f>COUNTIFS(Koding_Korpus148!$Q$2:$Q$149,"*A2*",Koding_Korpus148!$U$2:$U$149,"ya")</f>
        <v/>
      </c>
    </row>
    <row r="43" ht="15" customHeight="1" s="21">
      <c r="A43" s="20" t="inlineStr">
        <is>
          <t>A3</t>
        </is>
      </c>
      <c r="B43" s="20">
        <f>COUNTIF(Koding_Korpus148!$P$2:$P$149,"*A3*")</f>
        <v/>
      </c>
      <c r="C43" s="20">
        <f>COUNTIF(Koding_Korpus148!$Q$2:$Q$149,"*A3*")</f>
        <v/>
      </c>
      <c r="D43" s="20">
        <f>COUNTIFS(Koding_Korpus148!$Q$2:$Q$149,"*A3*",Koding_Korpus148!$AA$2:$AA$149,"L1")</f>
        <v/>
      </c>
      <c r="E43" s="20">
        <f>COUNTIFS(Koding_Korpus148!$Q$2:$Q$149,"*A3*",Koding_Korpus148!$AA$2:$AA$149,"L2")</f>
        <v/>
      </c>
      <c r="F43" s="20">
        <f>COUNTIFS(Koding_Korpus148!$Q$2:$Q$149,"*A3*",Koding_Korpus148!$AA$2:$AA$149,"L3")</f>
        <v/>
      </c>
      <c r="G43" s="20">
        <f>COUNTIFS(Koding_Korpus148!$Q$2:$Q$149,"*A3*",Koding_Korpus148!$U$2:$U$149,"ya")</f>
        <v/>
      </c>
    </row>
    <row r="44" ht="15" customHeight="1" s="21">
      <c r="A44" s="20" t="inlineStr">
        <is>
          <t>B1</t>
        </is>
      </c>
      <c r="B44" s="20">
        <f>COUNTIF(Koding_Korpus148!$P$2:$P$149,"*B1*")</f>
        <v/>
      </c>
      <c r="C44" s="20">
        <f>COUNTIF(Koding_Korpus148!$Q$2:$Q$149,"*B1*")</f>
        <v/>
      </c>
      <c r="D44" s="20">
        <f>COUNTIFS(Koding_Korpus148!$Q$2:$Q$149,"*B1*",Koding_Korpus148!$AA$2:$AA$149,"L1")</f>
        <v/>
      </c>
      <c r="E44" s="20">
        <f>COUNTIFS(Koding_Korpus148!$Q$2:$Q$149,"*B1*",Koding_Korpus148!$AA$2:$AA$149,"L2")</f>
        <v/>
      </c>
      <c r="F44" s="20">
        <f>COUNTIFS(Koding_Korpus148!$Q$2:$Q$149,"*B1*",Koding_Korpus148!$AA$2:$AA$149,"L3")</f>
        <v/>
      </c>
      <c r="G44" s="20">
        <f>COUNTIFS(Koding_Korpus148!$Q$2:$Q$149,"*B1*",Koding_Korpus148!$U$2:$U$149,"ya")</f>
        <v/>
      </c>
    </row>
    <row r="45" ht="15" customHeight="1" s="21">
      <c r="A45" s="20" t="inlineStr">
        <is>
          <t>B2</t>
        </is>
      </c>
      <c r="B45" s="20">
        <f>COUNTIF(Koding_Korpus148!$P$2:$P$149,"*B2*")</f>
        <v/>
      </c>
      <c r="C45" s="20">
        <f>COUNTIF(Koding_Korpus148!$Q$2:$Q$149,"*B2*")</f>
        <v/>
      </c>
      <c r="D45" s="20">
        <f>COUNTIFS(Koding_Korpus148!$Q$2:$Q$149,"*B2*",Koding_Korpus148!$AA$2:$AA$149,"L1")</f>
        <v/>
      </c>
      <c r="E45" s="20">
        <f>COUNTIFS(Koding_Korpus148!$Q$2:$Q$149,"*B2*",Koding_Korpus148!$AA$2:$AA$149,"L2")</f>
        <v/>
      </c>
      <c r="F45" s="20">
        <f>COUNTIFS(Koding_Korpus148!$Q$2:$Q$149,"*B2*",Koding_Korpus148!$AA$2:$AA$149,"L3")</f>
        <v/>
      </c>
      <c r="G45" s="20">
        <f>COUNTIFS(Koding_Korpus148!$Q$2:$Q$149,"*B2*",Koding_Korpus148!$U$2:$U$149,"ya")</f>
        <v/>
      </c>
    </row>
    <row r="46" ht="15" customHeight="1" s="21">
      <c r="A46" s="20" t="inlineStr">
        <is>
          <t>B3</t>
        </is>
      </c>
      <c r="B46" s="20">
        <f>COUNTIF(Koding_Korpus148!$P$2:$P$149,"*B3*")</f>
        <v/>
      </c>
      <c r="C46" s="20">
        <f>COUNTIF(Koding_Korpus148!$Q$2:$Q$149,"*B3*")</f>
        <v/>
      </c>
      <c r="D46" s="20">
        <f>COUNTIFS(Koding_Korpus148!$Q$2:$Q$149,"*B3*",Koding_Korpus148!$AA$2:$AA$149,"L1")</f>
        <v/>
      </c>
      <c r="E46" s="20">
        <f>COUNTIFS(Koding_Korpus148!$Q$2:$Q$149,"*B3*",Koding_Korpus148!$AA$2:$AA$149,"L2")</f>
        <v/>
      </c>
      <c r="F46" s="20">
        <f>COUNTIFS(Koding_Korpus148!$Q$2:$Q$149,"*B3*",Koding_Korpus148!$AA$2:$AA$149,"L3")</f>
        <v/>
      </c>
      <c r="G46" s="20">
        <f>COUNTIFS(Koding_Korpus148!$Q$2:$Q$149,"*B3*",Koding_Korpus148!$U$2:$U$149,"ya")</f>
        <v/>
      </c>
    </row>
    <row r="47" ht="15" customHeight="1" s="21">
      <c r="A47" s="20" t="inlineStr">
        <is>
          <t>C1</t>
        </is>
      </c>
      <c r="B47" s="20">
        <f>COUNTIF(Koding_Korpus148!$P$2:$P$149,"*C1*")</f>
        <v/>
      </c>
      <c r="C47" s="20">
        <f>COUNTIF(Koding_Korpus148!$Q$2:$Q$149,"*C1*")</f>
        <v/>
      </c>
      <c r="D47" s="20">
        <f>COUNTIFS(Koding_Korpus148!$Q$2:$Q$149,"*C1*",Koding_Korpus148!$AA$2:$AA$149,"L1")</f>
        <v/>
      </c>
      <c r="E47" s="20">
        <f>COUNTIFS(Koding_Korpus148!$Q$2:$Q$149,"*C1*",Koding_Korpus148!$AA$2:$AA$149,"L2")</f>
        <v/>
      </c>
      <c r="F47" s="20">
        <f>COUNTIFS(Koding_Korpus148!$Q$2:$Q$149,"*C1*",Koding_Korpus148!$AA$2:$AA$149,"L3")</f>
        <v/>
      </c>
      <c r="G47" s="20">
        <f>COUNTIFS(Koding_Korpus148!$Q$2:$Q$149,"*C1*",Koding_Korpus148!$U$2:$U$149,"ya")</f>
        <v/>
      </c>
    </row>
    <row r="48" ht="15" customHeight="1" s="21">
      <c r="A48" s="20" t="inlineStr">
        <is>
          <t>C2</t>
        </is>
      </c>
      <c r="B48" s="20">
        <f>COUNTIF(Koding_Korpus148!$P$2:$P$149,"*C2*")</f>
        <v/>
      </c>
      <c r="C48" s="20">
        <f>COUNTIF(Koding_Korpus148!$Q$2:$Q$149,"*C2*")</f>
        <v/>
      </c>
      <c r="D48" s="20">
        <f>COUNTIFS(Koding_Korpus148!$Q$2:$Q$149,"*C2*",Koding_Korpus148!$AA$2:$AA$149,"L1")</f>
        <v/>
      </c>
      <c r="E48" s="20">
        <f>COUNTIFS(Koding_Korpus148!$Q$2:$Q$149,"*C2*",Koding_Korpus148!$AA$2:$AA$149,"L2")</f>
        <v/>
      </c>
      <c r="F48" s="20">
        <f>COUNTIFS(Koding_Korpus148!$Q$2:$Q$149,"*C2*",Koding_Korpus148!$AA$2:$AA$149,"L3")</f>
        <v/>
      </c>
      <c r="G48" s="20">
        <f>COUNTIFS(Koding_Korpus148!$Q$2:$Q$149,"*C2*",Koding_Korpus148!$U$2:$U$149,"ya")</f>
        <v/>
      </c>
    </row>
    <row r="49" ht="15" customHeight="1" s="21">
      <c r="A49" s="20" t="inlineStr">
        <is>
          <t>C3</t>
        </is>
      </c>
      <c r="B49" s="20">
        <f>COUNTIF(Koding_Korpus148!$P$2:$P$149,"*C3*")</f>
        <v/>
      </c>
      <c r="C49" s="20">
        <f>COUNTIF(Koding_Korpus148!$Q$2:$Q$149,"*C3*")</f>
        <v/>
      </c>
      <c r="D49" s="20">
        <f>COUNTIFS(Koding_Korpus148!$Q$2:$Q$149,"*C3*",Koding_Korpus148!$AA$2:$AA$149,"L1")</f>
        <v/>
      </c>
      <c r="E49" s="20">
        <f>COUNTIFS(Koding_Korpus148!$Q$2:$Q$149,"*C3*",Koding_Korpus148!$AA$2:$AA$149,"L2")</f>
        <v/>
      </c>
      <c r="F49" s="20">
        <f>COUNTIFS(Koding_Korpus148!$Q$2:$Q$149,"*C3*",Koding_Korpus148!$AA$2:$AA$149,"L3")</f>
        <v/>
      </c>
      <c r="G49" s="20">
        <f>COUNTIFS(Koding_Korpus148!$Q$2:$Q$149,"*C3*",Koding_Korpus148!$U$2:$U$149,"ya")</f>
        <v/>
      </c>
    </row>
    <row r="50" ht="15" customHeight="1" s="21">
      <c r="A50" s="20" t="inlineStr">
        <is>
          <t>C4</t>
        </is>
      </c>
      <c r="B50" s="20">
        <f>COUNTIF(Koding_Korpus148!$P$2:$P$149,"*C4*")</f>
        <v/>
      </c>
      <c r="C50" s="20">
        <f>COUNTIF(Koding_Korpus148!$Q$2:$Q$149,"*C4*")</f>
        <v/>
      </c>
      <c r="D50" s="20">
        <f>COUNTIFS(Koding_Korpus148!$Q$2:$Q$149,"*C4*",Koding_Korpus148!$AA$2:$AA$149,"L1")</f>
        <v/>
      </c>
      <c r="E50" s="20">
        <f>COUNTIFS(Koding_Korpus148!$Q$2:$Q$149,"*C4*",Koding_Korpus148!$AA$2:$AA$149,"L2")</f>
        <v/>
      </c>
      <c r="F50" s="20">
        <f>COUNTIFS(Koding_Korpus148!$Q$2:$Q$149,"*C4*",Koding_Korpus148!$AA$2:$AA$149,"L3")</f>
        <v/>
      </c>
      <c r="G50" s="20">
        <f>COUNTIFS(Koding_Korpus148!$Q$2:$Q$149,"*C4*",Koding_Korpus148!$U$2:$U$149,"ya")</f>
        <v/>
      </c>
    </row>
    <row r="51" ht="15" customHeight="1" s="21">
      <c r="A51" s="20" t="inlineStr">
        <is>
          <t>C5</t>
        </is>
      </c>
      <c r="B51" s="20">
        <f>COUNTIF(Koding_Korpus148!$P$2:$P$149,"*C5*")</f>
        <v/>
      </c>
      <c r="C51" s="20">
        <f>COUNTIF(Koding_Korpus148!$Q$2:$Q$149,"*C5*")</f>
        <v/>
      </c>
      <c r="D51" s="20">
        <f>COUNTIFS(Koding_Korpus148!$Q$2:$Q$149,"*C5*",Koding_Korpus148!$AA$2:$AA$149,"L1")</f>
        <v/>
      </c>
      <c r="E51" s="20">
        <f>COUNTIFS(Koding_Korpus148!$Q$2:$Q$149,"*C5*",Koding_Korpus148!$AA$2:$AA$149,"L2")</f>
        <v/>
      </c>
      <c r="F51" s="20">
        <f>COUNTIFS(Koding_Korpus148!$Q$2:$Q$149,"*C5*",Koding_Korpus148!$AA$2:$AA$149,"L3")</f>
        <v/>
      </c>
      <c r="G51" s="20">
        <f>COUNTIFS(Koding_Korpus148!$Q$2:$Q$149,"*C5*",Koding_Korpus148!$U$2:$U$149,"ya")</f>
        <v/>
      </c>
    </row>
    <row r="52" ht="15" customHeight="1" s="21">
      <c r="A52" s="20" t="inlineStr">
        <is>
          <t>D1</t>
        </is>
      </c>
      <c r="B52" s="20">
        <f>COUNTIF(Koding_Korpus148!$P$2:$P$149,"*D1*")</f>
        <v/>
      </c>
      <c r="C52" s="20">
        <f>COUNTIF(Koding_Korpus148!$Q$2:$Q$149,"*D1*")</f>
        <v/>
      </c>
      <c r="D52" s="20">
        <f>COUNTIFS(Koding_Korpus148!$Q$2:$Q$149,"*D1*",Koding_Korpus148!$AA$2:$AA$149,"L1")</f>
        <v/>
      </c>
      <c r="E52" s="20">
        <f>COUNTIFS(Koding_Korpus148!$Q$2:$Q$149,"*D1*",Koding_Korpus148!$AA$2:$AA$149,"L2")</f>
        <v/>
      </c>
      <c r="F52" s="20">
        <f>COUNTIFS(Koding_Korpus148!$Q$2:$Q$149,"*D1*",Koding_Korpus148!$AA$2:$AA$149,"L3")</f>
        <v/>
      </c>
      <c r="G52" s="20">
        <f>COUNTIFS(Koding_Korpus148!$Q$2:$Q$149,"*D1*",Koding_Korpus148!$U$2:$U$149,"ya")</f>
        <v/>
      </c>
    </row>
    <row r="53" ht="15" customHeight="1" s="21">
      <c r="A53" s="20" t="inlineStr">
        <is>
          <t>D2</t>
        </is>
      </c>
      <c r="B53" s="20">
        <f>COUNTIF(Koding_Korpus148!$P$2:$P$149,"*D2*")</f>
        <v/>
      </c>
      <c r="C53" s="20">
        <f>COUNTIF(Koding_Korpus148!$Q$2:$Q$149,"*D2*")</f>
        <v/>
      </c>
      <c r="D53" s="20">
        <f>COUNTIFS(Koding_Korpus148!$Q$2:$Q$149,"*D2*",Koding_Korpus148!$AA$2:$AA$149,"L1")</f>
        <v/>
      </c>
      <c r="E53" s="20">
        <f>COUNTIFS(Koding_Korpus148!$Q$2:$Q$149,"*D2*",Koding_Korpus148!$AA$2:$AA$149,"L2")</f>
        <v/>
      </c>
      <c r="F53" s="20">
        <f>COUNTIFS(Koding_Korpus148!$Q$2:$Q$149,"*D2*",Koding_Korpus148!$AA$2:$AA$149,"L3")</f>
        <v/>
      </c>
      <c r="G53" s="20">
        <f>COUNTIFS(Koding_Korpus148!$Q$2:$Q$149,"*D2*",Koding_Korpus148!$U$2:$U$149,"ya")</f>
        <v/>
      </c>
    </row>
    <row r="54" ht="15" customHeight="1" s="21">
      <c r="A54" s="20" t="inlineStr">
        <is>
          <t>D3</t>
        </is>
      </c>
      <c r="B54" s="20">
        <f>COUNTIF(Koding_Korpus148!$P$2:$P$149,"*D3*")</f>
        <v/>
      </c>
      <c r="C54" s="20">
        <f>COUNTIF(Koding_Korpus148!$Q$2:$Q$149,"*D3*")</f>
        <v/>
      </c>
      <c r="D54" s="20">
        <f>COUNTIFS(Koding_Korpus148!$Q$2:$Q$149,"*D3*",Koding_Korpus148!$AA$2:$AA$149,"L1")</f>
        <v/>
      </c>
      <c r="E54" s="20">
        <f>COUNTIFS(Koding_Korpus148!$Q$2:$Q$149,"*D3*",Koding_Korpus148!$AA$2:$AA$149,"L2")</f>
        <v/>
      </c>
      <c r="F54" s="20">
        <f>COUNTIFS(Koding_Korpus148!$Q$2:$Q$149,"*D3*",Koding_Korpus148!$AA$2:$AA$149,"L3")</f>
        <v/>
      </c>
      <c r="G54" s="20">
        <f>COUNTIFS(Koding_Korpus148!$Q$2:$Q$149,"*D3*",Koding_Korpus148!$U$2:$U$149,"ya")</f>
        <v/>
      </c>
    </row>
    <row r="56" ht="15" customHeight="1" s="21">
      <c r="A56" s="20" t="inlineStr">
        <is>
          <t>Catatan: maturitas kelas dihitung hanya dari entri yang MENGEVALUASI kelas itu (kelas_dievaluasi), bukan yang sekadar mengklaimnya.</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44"/>
  <sheetViews>
    <sheetView zoomScaleNormal="100" workbookViewId="0">
      <pane ySplit="1" topLeftCell="A2" activePane="bottomLeft" state="frozen"/>
      <selection pane="bottomLeft" activeCell="A1" sqref="A1"/>
    </sheetView>
  </sheetViews>
  <sheetFormatPr baseColWidth="8" defaultColWidth="8.6328125" defaultRowHeight="14.5"/>
  <cols>
    <col width="52" customWidth="1" style="21" min="1" max="1"/>
    <col width="14" customWidth="1" style="21" min="2" max="2"/>
    <col width="90" customWidth="1" style="21" min="3" max="3"/>
    <col width="80" customWidth="1" style="21" min="4" max="4"/>
  </cols>
  <sheetData>
    <row r="1" ht="15" customHeight="1" s="21">
      <c r="A1" s="19" t="inlineStr">
        <is>
          <t>record_id</t>
        </is>
      </c>
      <c r="B1" s="19" t="inlineStr">
        <is>
          <t>prioritas (A tinggi, B sedang, C rendah)</t>
        </is>
      </c>
      <c r="C1" s="19" t="inlineStr">
        <is>
          <t>masalah</t>
        </is>
      </c>
      <c r="D1" s="19" t="inlineStr">
        <is>
          <t>saran</t>
        </is>
      </c>
      <c r="E1" t="inlineStr">
        <is>
          <t>status</t>
        </is>
      </c>
      <c r="F1" t="inlineStr">
        <is>
          <t>tindakan_perbaikan</t>
        </is>
      </c>
    </row>
    <row r="2" ht="34.5" customHeight="1" s="21">
      <c r="A2" s="2" t="inlineStr">
        <is>
          <t>SEMUA</t>
        </is>
      </c>
      <c r="B2" s="2" t="inlineStr">
        <is>
          <t>A</t>
        </is>
      </c>
      <c r="C2" s="2" t="inlineStr">
        <is>
          <t>kelas C1 diklaim oleh 48 dari 54 baris pertahanan yang sudah dikode (89%); 14 dari 19 baris berparadigma non-otorisasi (pemindai statis, integritas, isolasi, detektor ML) ikut mengklaim C1, dan R3 tercantum di 46 dari 48 baris tersebut. Pola ini mirip default.</t>
        </is>
      </c>
      <c r="D2" s="2" t="inlineStr">
        <is>
          <t>Tinjau ulang kelas_diklaim dan crossings baris demi baris dari ancaman yang dinyatakan penulis. Definisi C1: tindakan istimewa yang dirakit planner dijalankan atas nama sesi, bukan pengguna. Pemindai kode, penanda tangan integritas, dan detektor ML biasanya tidak menangani C1.</t>
        </is>
      </c>
      <c r="E2" t="inlineStr">
        <is>
          <t>SELESAI</t>
        </is>
      </c>
      <c r="F2" t="inlineStr">
        <is>
          <t>SELESAI: Klaim C1 diaudit baris demi baris. 6 baris pasangan default A1;C1 dan entri non-otorisasi (termasuk alfonso-2026) telah dicabut klaim C1-nya. Naskah/Tabel 16 dikonfirmasi memakai kelas_dievaluasi dan maturitas.</t>
        </is>
      </c>
    </row>
    <row r="3" ht="23.25" customHeight="1" s="21">
      <c r="A3" s="2" t="inlineStr">
        <is>
          <t>SEMUA</t>
        </is>
      </c>
      <c r="B3" s="2" t="inlineStr">
        <is>
          <t>B</t>
        </is>
      </c>
      <c r="C3" s="2" t="inlineStr">
        <is>
          <t>L2 = 0: kolom evaluator_independen kosong seluruhnya. Klaim "tidak ada pertahanan yang dievaluasi independen" belum diuji terhadap daftar kandidat evaluasi independen dari agent (T5).</t>
        </is>
      </c>
      <c r="D3" s="2" t="inlineStr">
        <is>
          <t>Periksa kandidat T5 (mis. MCIP oleh MCPSecBench; SafeMCP dan MCP-Scan oleh MCP-Guard; McpSafetyScanner oleh VIPER-MCP; MCPShield oleh paper lain) sebelum menulis klaim itu.</t>
        </is>
      </c>
      <c r="E3" t="inlineStr">
        <is>
          <t>SELESAI</t>
        </is>
      </c>
      <c r="F3" t="inlineStr">
        <is>
          <t>SELESAI: Dua evaluasi independen terkonfirmasi di korpus 148: MCIP dievaluasi oleh MCPSecBench (yixuan-2025; Tabel 1, 2, Fig 4, 6), dan McpSafetyScanner dievaluasi oleh VIPER-MCP (pengyu-2026; Tabel 4). Maturitas keduanya naik ke L2.</t>
        </is>
      </c>
    </row>
    <row r="4" ht="34.5" customHeight="1" s="21">
      <c r="A4" s="2" t="inlineStr">
        <is>
          <t>SEMUA</t>
        </is>
      </c>
      <c r="B4" s="2" t="inlineStr">
        <is>
          <t>B</t>
        </is>
      </c>
      <c r="C4" s="2" t="inlineStr">
        <is>
          <t>Nilai di luar daftar: paradigma (ml_detector, llm_judge, human_in_the_loop), titik_penegakan (host_proxy, host_client, mcp_server), asal_set_serangan (sintetis, kombinasi, benchmark_publik), deployment (prototype, produksi_privat). Dropdown hilang saat file disimpan.</t>
        </is>
      </c>
      <c r="D4" s="2" t="inlineStr">
        <is>
          <t>Pakai sheet Normalisasi; dropdown sudah dipulihkan (mode peringatan).</t>
        </is>
      </c>
      <c r="E4" t="inlineStr">
        <is>
          <t>SELESAI</t>
        </is>
      </c>
      <c r="F4" t="inlineStr">
        <is>
          <t>SELESAI: Seluruh nilai di luar daftar telah dinormalisasi 100% mengikuti sheet Normalisasi dan dropdown Daftar (ml_detector/llm_judge -&gt; content_inspection_runtime/static; host_proxy -&gt; gateway_proxy; sintetis/kombinasi/benchmark_publik -&gt; authors_own/mixed/third_party_public; prototype/produksi_privat -&gt; prototype_open_source/none).</t>
        </is>
      </c>
    </row>
    <row r="5" ht="23.25" customHeight="1" s="21">
      <c r="A5" s="2" t="inlineStr">
        <is>
          <t>SEMUA</t>
        </is>
      </c>
      <c r="B5" s="2" t="inlineStr">
        <is>
          <t>C</t>
        </is>
      </c>
      <c r="C5" s="2" t="inlineStr">
        <is>
          <t>Sheet Ringkasan (lama) masih menghitung 186 baris, termasuk 38 record yang sudah dikeluarkan. Ringkasan_Korpus148 adalah yang benar.</t>
        </is>
      </c>
      <c r="D5" s="2" t="inlineStr">
        <is>
          <t>Abaikan atau hapus sheet Ringkasan lama.</t>
        </is>
      </c>
      <c r="E5" t="inlineStr">
        <is>
          <t>SELESAI</t>
        </is>
      </c>
      <c r="F5" t="inlineStr">
        <is>
          <t>SELESAI: Lembar Ringkasan_Korpus148 menjadi acuan statistik korpus final 148.</t>
        </is>
      </c>
    </row>
    <row r="6" ht="34.5" customHeight="1" s="21">
      <c r="A6" s="2" t="inlineStr">
        <is>
          <t>mohammad-2026-formal-security-framework-model-context</t>
        </is>
      </c>
      <c r="B6" s="2" t="inlineStr">
        <is>
          <t>A</t>
        </is>
      </c>
      <c r="C6" s="2" t="inlineStr">
        <is>
          <t>Peran not_defense dengan alasan "MCP hanya wrapper" bertentangan dengan keputusan korpus (include, kasus batas). Isi paper: FSM-MCP, model formal dengan empat mekanisme (signed manifests, capability-scoped tokens, context sanitization, message authentication), dievaluasi penulis dengan 3.000 jejak simulasi.</t>
        </is>
      </c>
      <c r="D6" s="2" t="inlineStr">
        <is>
          <t>Kode ulang: defense_primary; jenis_evaluasi author_run; asal_set_serangan authors_own; adaptif tidak (paper menyatakan robustnes adaptif belum dievaluasi); maturitas L1.</t>
        </is>
      </c>
      <c r="E6" t="inlineStr">
        <is>
          <t>SELESAI</t>
        </is>
      </c>
      <c r="F6" t="inlineStr">
        <is>
          <t>SELESAI: mohammad-2026 dikodekan ulang sebagai defense_primary, deterministic_policy, author_run, authors_own, adaptif tidak, lokasi bukti Sec. 5 (3.000 simulasi jejak), maturitas otomatis L1.</t>
        </is>
      </c>
    </row>
    <row r="7" ht="23.25" customHeight="1" s="21">
      <c r="A7" s="2" t="inlineStr">
        <is>
          <t>anthropic-2024-model-context-protocol-specification-architecture</t>
        </is>
      </c>
      <c r="B7" s="2" t="inlineStr">
        <is>
          <t>A</t>
        </is>
      </c>
      <c r="C7" s="2" t="inlineStr">
        <is>
          <t>Record spesifikasi dikode defense_primary, L3, crossing R1-R7. Tabel 14 naskah menyatakan revisi 2024-11-05 tidak mendefinisikan otorisasi; klaim "kontrol otorisasi transport" tidak sesuai revisi itu.</t>
        </is>
      </c>
      <c r="D7" s="2" t="inlineStr">
        <is>
          <t>Ubah peran ke position_other dan keluarkan dari statistik pertahanan; ketentuan normatif dilaporkan di Section 5 (Tabel 14-15), bukan sebagai L3 literatur.</t>
        </is>
      </c>
      <c r="E7" t="inlineStr">
        <is>
          <t>SELESAI</t>
        </is>
      </c>
      <c r="F7" t="inlineStr">
        <is>
          <t>SELESAI: Record spesifikasi Anthropic 2024 diubah ke position_other, seluruh kolom pertahanan dikosongkan (maturitas n/a), dilaporkan secara terpisah di Section 5 (Tabel 14-15).</t>
        </is>
      </c>
    </row>
    <row r="8" ht="23.25" customHeight="1" s="21">
      <c r="A8" s="2" t="inlineStr">
        <is>
          <t>suraj-2026-gateway-architecture-enterprise-mcp-authentication</t>
        </is>
      </c>
      <c r="B8" s="2" t="inlineStr">
        <is>
          <t>B</t>
        </is>
      </c>
      <c r="C8" s="2" t="inlineStr">
        <is>
          <t>deployment berisi nilai di luar daftar ("produksi_privat"). Paper industri mendokumentasikan gateway yang berjalan di produksi PayPal.</t>
        </is>
      </c>
      <c r="D8" s="2" t="inlineStr">
        <is>
          <t>Putuskan: produksi_bukti_publik (maturitas menjadi L3, dilaporkan terpisah) atau none dengan catatan. Jangan pakai nilai bebas.</t>
        </is>
      </c>
      <c r="E8" t="inlineStr">
        <is>
          <t>SELESAI</t>
        </is>
      </c>
      <c r="F8" t="inlineStr">
        <is>
          <t>SELESAI: deployment dinormalisasi menjadi none (L0) sesuai Pedoman Bagian 8, karena ketiadaan dokumentasi rilis produk publik bertanggal terpisah di luar naskah arXiv.</t>
        </is>
      </c>
    </row>
    <row r="9" ht="34.5" customHeight="1" s="21">
      <c r="A9" s="2" t="inlineStr">
        <is>
          <t>zhenhong-2026-mcpshield-security-cognition-layer-adaptive</t>
        </is>
      </c>
      <c r="B9" s="2" t="inlineStr">
        <is>
          <t>A</t>
        </is>
      </c>
      <c r="C9" s="2" t="inlineStr">
        <is>
          <t>adaptif=ya, tetapi kutipan menyebut "Adaptive Attack (Zhan et al., 2025)" sebagai salah satu suite serangan tetap. Itu benchmark yang dirancang terhadap pertahanan lain, bukan serangan yang disetel terhadap MCPShield (jebakan yang diperingatkan di Pedoman 7.3).</t>
        </is>
      </c>
      <c r="D9" s="2" t="inlineStr">
        <is>
          <t>Ubah ke tidak, kecuali teks menyatakan serangan dioptimasi terhadap MCPShield; bila ya, ganti kutipan dengan kalimat itu.</t>
        </is>
      </c>
      <c r="E9" t="inlineStr">
        <is>
          <t>SELESAI</t>
        </is>
      </c>
      <c r="F9" t="inlineStr">
        <is>
          <t>SELESAI: zhenhong-2026 (MCPShield) diubah ke adaptif=tidak karena Zhan et al. (2025) adalah benchmark pihak ketiga tetap yang tidak disetel terhadap MCPShield.</t>
        </is>
      </c>
    </row>
    <row r="10" ht="23.25" customHeight="1" s="21">
      <c r="A10" s="2" t="inlineStr">
        <is>
          <t>zhiqiang-2025-mindguard-intrinsic-decision-inspection-securing</t>
        </is>
      </c>
      <c r="B10" s="2" t="inlineStr">
        <is>
          <t>B</t>
        </is>
      </c>
      <c r="C10" s="2" t="inlineStr">
        <is>
          <t>adaptif=ya; kutipan menjelaskan Paraphrasing Attack (evasi generik), bukan pengetahuan tentang mekanisme MindGuard.</t>
        </is>
      </c>
      <c r="D10" s="2" t="inlineStr">
        <is>
          <t>Bila Attention Minimization Attack dirancang dengan pengetahuan tentang mekanisme atensi, kutip kalimat itu (maks 25 kata); bila tidak, ubah ke tidak.</t>
        </is>
      </c>
      <c r="E10" t="inlineStr">
        <is>
          <t>SELESAI</t>
        </is>
      </c>
      <c r="F10" t="inlineStr">
        <is>
          <t>SELESAI: zhiqiang-2025 (MindGuard) dipertahankan adaptif=ya dengan kutipan verbatim Attention Minimization Attack (21 kata) dari Sec. 6.5: 'Attacker crafts a subtle payload to alter LLM\'s decision without a detectable attention activation. We validated this by systematically controlling attention'.</t>
        </is>
      </c>
    </row>
    <row r="11" ht="23.25" customHeight="1" s="21">
      <c r="A11" s="2" t="inlineStr">
        <is>
          <t>panduranga-2026-delegation-trust-empirical-gap-analysis</t>
        </is>
      </c>
      <c r="B11" s="2" t="inlineStr">
        <is>
          <t>C</t>
        </is>
      </c>
      <c r="C11" s="2" t="inlineStr">
        <is>
          <t>adaptif=ya berdasar 11 serangan langsung terhadap desain broker (red-team penulis). Sesuai definisi, tetapi kutipan harus verbatim.</t>
        </is>
      </c>
      <c r="D11" s="2" t="inlineStr">
        <is>
          <t>Cocokkan kutipan ke teks; tambahkan catatan "red-team penulis sendiri".</t>
        </is>
      </c>
      <c r="E11" t="inlineStr">
        <is>
          <t>SELESAI</t>
        </is>
      </c>
      <c r="F11" t="inlineStr">
        <is>
          <t>SELESAI: panduranga-2026 (Trust Broker) dipertahankan adaptif=ya dengan kutipan verbatim (20 kata) dari Sec. 5.2: 'suite that actively attacks the broker\'s own design: forging a token from scratch, forging with a guessed secret, stripping caveats', dengan catatan red-team penulis sendiri.</t>
        </is>
      </c>
    </row>
    <row r="12" ht="23.25" customHeight="1" s="21">
      <c r="A12" s="2" t="inlineStr">
        <is>
          <t>yuanhe-2025-leechhijack-covert-computational-resource-exploitation</t>
        </is>
      </c>
      <c r="B12" s="2" t="inlineStr">
        <is>
          <t>C</t>
        </is>
      </c>
      <c r="C12" s="2" t="inlineStr">
        <is>
          <t>Peran attack. Paper juga mengimplementasikan dan mengevaluasi mitigasi LLM-as-judge (Tabel 12-15; F1 hingga 0,96, rata-rata 0,71).</t>
        </is>
      </c>
      <c r="D12" s="2" t="inlineStr">
        <is>
          <t>Pertimbangkan defense_secondary; bila dipertahankan attack, catat alasannya.</t>
        </is>
      </c>
      <c r="E12" t="inlineStr">
        <is>
          <t>SELESAI</t>
        </is>
      </c>
      <c r="F12" t="inlineStr">
        <is>
          <t>SELESAI: yuanhe-2025 (LeechHijack) disesuaikan menjadi defense_secondary karena mengimplementasikan dan mengevaluasi mitigasi LLM-as-a-judge (F1 hingga 0,96 di Tabel 12-15).</t>
        </is>
      </c>
    </row>
    <row r="13" ht="23.25" customHeight="1" s="21">
      <c r="A13" s="2" t="inlineStr">
        <is>
          <t>xiaofan-2025-first-look-security-issues-model</t>
        </is>
      </c>
      <c r="B13" s="2" t="inlineStr">
        <is>
          <t>B</t>
        </is>
      </c>
      <c r="C13" s="2" t="inlineStr">
        <is>
          <t>Peran defense_primary; abstrak: studi keamanan lintas-entitas MCP (pengukuran), MCPInspect hanya salah satu komponen. Baris belum diisi.</t>
        </is>
      </c>
      <c r="D13" s="2" t="inlineStr">
        <is>
          <t>Pertimbangkan defense_secondary atau benchmark_measurement.</t>
        </is>
      </c>
      <c r="E13" t="inlineStr">
        <is>
          <t>SELESAI</t>
        </is>
      </c>
      <c r="F13" t="inlineStr">
        <is>
          <t>SELESAI: xiaofan-2025 disesuaikan perannya menjadi benchmark_measurement (studi pengukuran keamanan ekosistem MCP dengan pemindai MCPInspect).</t>
        </is>
      </c>
    </row>
    <row r="14" ht="23.25" customHeight="1" s="21">
      <c r="A14" s="2" t="inlineStr">
        <is>
          <t>charoes-2026-model-context-protocol-threat-modeling</t>
        </is>
      </c>
      <c r="B14" s="2" t="inlineStr">
        <is>
          <t>C</t>
        </is>
      </c>
      <c r="C14" s="2" t="inlineStr">
        <is>
          <t>Peran proposal_only; paper adalah pemodelan ancaman STRIDE/DREAD dengan evaluasi tool poisoning pada beberapa klien.</t>
        </is>
      </c>
      <c r="D14" s="2" t="inlineStr">
        <is>
          <t>Pertimbangkan survey_review atau attack; baris belum diisi.</t>
        </is>
      </c>
      <c r="E14" t="inlineStr">
        <is>
          <t>SELESAI</t>
        </is>
      </c>
      <c r="F14" t="inlineStr">
        <is>
          <t>SELESAI: charoes-2026-threat-modeling disesuaikan perannya menjadi survey_review (pemodelan ancaman STRIDE/DREAD 57 ancaman).</t>
        </is>
      </c>
    </row>
    <row r="15" ht="15" customHeight="1" s="21">
      <c r="A15" s="2" t="inlineStr">
        <is>
          <t>chenning-2026-adr-agentic-detection-system-enterprise</t>
        </is>
      </c>
      <c r="B15" s="2" t="inlineStr">
        <is>
          <t>B</t>
        </is>
      </c>
      <c r="C15" s="2" t="inlineStr">
        <is>
          <t>kelas_dievaluasi berisi delapan kelas (A2;B1;C1;C2;C5;D1;D2;D3) dari 12 yang diklaim.</t>
        </is>
      </c>
      <c r="D15" s="2" t="inlineStr">
        <is>
          <t>Pastikan tiap kelas punya eksperimen dan sebutkan lokasinya (tabel/halaman) di lokasi_bukti.</t>
        </is>
      </c>
      <c r="E15" t="inlineStr">
        <is>
          <t>SELESAI</t>
        </is>
      </c>
      <c r="F15" t="inlineStr">
        <is>
          <t>SELESAI: 8 kelas dievaluasi ADR (chenning-2026) diverifikasi memiliki eksperimen kuantitatif pada 5 kategori taktis ADR-Bench dan AgentDojo (Sec. 4-5, Tabel 2, Gbr 6a).</t>
        </is>
      </c>
    </row>
    <row r="16" ht="23.25" customHeight="1" s="21">
      <c r="A16" s="2" t="inlineStr">
        <is>
          <t>herman-2025-securing-model-context-protocol-mcp</t>
        </is>
      </c>
      <c r="B16" s="2" t="inlineStr">
        <is>
          <t>C</t>
        </is>
      </c>
      <c r="C16" s="2" t="inlineStr">
        <is>
          <t>Rancangan/kerangka L0 dengan klaim tujuh crossing dan 5-9 kelas; klaim ini mengembang di kolom kelas_diklaim.</t>
        </is>
      </c>
      <c r="D16" s="2" t="inlineStr">
        <is>
          <t>Untuk Tabel 16 pakai kelas_dievaluasi dan maturitas, bukan kelas_diklaim; pastikan crossing benar-benar ditegakkan mekanisme, bukan sekadar disebut.</t>
        </is>
      </c>
      <c r="E16" t="inlineStr">
        <is>
          <t>SELESAI</t>
        </is>
      </c>
      <c r="F16" t="inlineStr">
        <is>
          <t>SELESAI: herman-2025 (L0) dikonfirmasi tetap kelas_dievaluasi kosong sehingga tidak menggelembungkan Tabel 16.</t>
        </is>
      </c>
    </row>
    <row r="17" ht="23.25" customHeight="1" s="21">
      <c r="A17" s="2" t="inlineStr">
        <is>
          <t>s-2025-zero-trust-security-frameworks-model</t>
        </is>
      </c>
      <c r="B17" s="2" t="inlineStr">
        <is>
          <t>C</t>
        </is>
      </c>
      <c r="C17" s="2" t="inlineStr">
        <is>
          <t>Rancangan/kerangka L0 dengan klaim tujuh crossing dan 5-9 kelas; klaim ini mengembang di kolom kelas_diklaim.</t>
        </is>
      </c>
      <c r="D17" s="2" t="inlineStr">
        <is>
          <t>Untuk Tabel 16 pakai kelas_dievaluasi dan maturitas, bukan kelas_diklaim; pastikan crossing benar-benar ditegakkan mekanisme, bukan sekadar disebut.</t>
        </is>
      </c>
      <c r="E17" t="inlineStr">
        <is>
          <t>SELESAI</t>
        </is>
      </c>
      <c r="F17" t="inlineStr">
        <is>
          <t>SELESAI: s-2025 (L0) dikonfirmasi tetap kelas_dievaluasi kosong.</t>
        </is>
      </c>
    </row>
    <row r="18" ht="23.25" customHeight="1" s="21">
      <c r="A18" s="2" t="inlineStr">
        <is>
          <t>vineeth-2026-enterprise-grade-security-model-context</t>
        </is>
      </c>
      <c r="B18" s="2" t="inlineStr">
        <is>
          <t>C</t>
        </is>
      </c>
      <c r="C18" s="2" t="inlineStr">
        <is>
          <t>Rancangan/kerangka L0 dengan klaim tujuh crossing dan 5-9 kelas; klaim ini mengembang di kolom kelas_diklaim.</t>
        </is>
      </c>
      <c r="D18" s="2" t="inlineStr">
        <is>
          <t>Untuk Tabel 16 pakai kelas_dievaluasi dan maturitas, bukan kelas_diklaim; pastikan crossing benar-benar ditegakkan mekanisme, bukan sekadar disebut.</t>
        </is>
      </c>
      <c r="E18" t="inlineStr">
        <is>
          <t>SELESAI</t>
        </is>
      </c>
      <c r="F18" t="inlineStr">
        <is>
          <t>SELESAI: vineeth-2026 (L0) dikonfirmasi tetap kelas_dievaluasi kosong.</t>
        </is>
      </c>
    </row>
    <row r="19" ht="23.25" customHeight="1" s="21">
      <c r="A19" s="2" t="inlineStr">
        <is>
          <t>xinyi-2026-smcp-secure-model-context-protocol</t>
        </is>
      </c>
      <c r="B19" s="2" t="inlineStr">
        <is>
          <t>C</t>
        </is>
      </c>
      <c r="C19" s="2" t="inlineStr">
        <is>
          <t>Rancangan/kerangka L0 dengan klaim tujuh crossing dan 5-9 kelas; klaim ini mengembang di kolom kelas_diklaim.</t>
        </is>
      </c>
      <c r="D19" s="2" t="inlineStr">
        <is>
          <t>Untuk Tabel 16 pakai kelas_dievaluasi dan maturitas, bukan kelas_diklaim; pastikan crossing benar-benar ditegakkan mekanisme, bukan sekadar disebut.</t>
        </is>
      </c>
      <c r="E19" t="inlineStr">
        <is>
          <t>SELESAI</t>
        </is>
      </c>
      <c r="F19" t="inlineStr">
        <is>
          <t>SELESAI: xinyi-2026-smcp (L0) dikonfirmasi tetap kelas_dievaluasi kosong.</t>
        </is>
      </c>
    </row>
    <row r="20" ht="23.25" customHeight="1" s="21">
      <c r="A20" s="2" t="inlineStr">
        <is>
          <t>nirajan-2026-formal-security-framework-mcp-based</t>
        </is>
      </c>
      <c r="B20" s="2" t="inlineStr">
        <is>
          <t>C</t>
        </is>
      </c>
      <c r="C20" s="2" t="inlineStr">
        <is>
          <t>Rancangan/kerangka L0 dengan klaim tujuh crossing dan 5-9 kelas; klaim ini mengembang di kolom kelas_diklaim.</t>
        </is>
      </c>
      <c r="D20" s="2" t="inlineStr">
        <is>
          <t>Untuk Tabel 16 pakai kelas_dievaluasi dan maturitas, bukan kelas_diklaim; pastikan crossing benar-benar ditegakkan mekanisme, bukan sekadar disebut.</t>
        </is>
      </c>
      <c r="E20" t="inlineStr">
        <is>
          <t>SELESAI</t>
        </is>
      </c>
      <c r="F20" t="inlineStr">
        <is>
          <t>SELESAI: nirajan-2026 (L0) dikonfirmasi tetap kelas_dievaluasi kosong.</t>
        </is>
      </c>
    </row>
    <row r="21" ht="23.25" customHeight="1" s="21">
      <c r="A21" s="2" t="inlineStr">
        <is>
          <t>jalendar-2025-zero-trust-proof-gated-agent</t>
        </is>
      </c>
      <c r="B21" s="2" t="inlineStr">
        <is>
          <t>B</t>
        </is>
      </c>
      <c r="C21" s="2" t="inlineStr">
        <is>
          <t>kelas_diklaim persis "A1;C1", pasangan yang sama dengan default pada koding mesin yang sudah ditarik.</t>
        </is>
      </c>
      <c r="D21" s="2" t="inlineStr">
        <is>
          <t>Turunkan ulang dari ancaman yang dinyatakan penulis; pastikan C1 (confused deputy) memang dibahas.</t>
        </is>
      </c>
      <c r="E21" t="inlineStr">
        <is>
          <t>SELESAI</t>
        </is>
      </c>
      <c r="F21" t="inlineStr">
        <is>
          <t>SELESAI: jalendar-2025 diturunkan ulang kelasnya menjadi C3;C1 (proof-gated zero-trust access control).</t>
        </is>
      </c>
    </row>
    <row r="22" ht="23.25" customHeight="1" s="21">
      <c r="A22" s="2" t="inlineStr">
        <is>
          <t>parya-2026-mcp-scanner-detecting-security-risks</t>
        </is>
      </c>
      <c r="B22" s="2" t="inlineStr">
        <is>
          <t>B</t>
        </is>
      </c>
      <c r="C22" s="2" t="inlineStr">
        <is>
          <t>kelas_diklaim persis "A1;C1", pasangan yang sama dengan default pada koding mesin yang sudah ditarik.</t>
        </is>
      </c>
      <c r="D22" s="2" t="inlineStr">
        <is>
          <t>Turunkan ulang dari ancaman yang dinyatakan penulis; pastikan C1 (confused deputy) memang dibahas.</t>
        </is>
      </c>
      <c r="E22" t="inlineStr">
        <is>
          <t>SELESAI</t>
        </is>
      </c>
      <c r="F22" t="inlineStr">
        <is>
          <t>SELESAI: parya-2026 (MCP-Scanner) diturunkan ulang kelasnya menjadi A1;A2;D3 (pemindai statis; klaim C1 dicabut).</t>
        </is>
      </c>
    </row>
    <row r="23" ht="23.25" customHeight="1" s="21">
      <c r="A23" s="2" t="inlineStr">
        <is>
          <t>samuel-2026-secure-sandbox-environment-orchestrating-medical</t>
        </is>
      </c>
      <c r="B23" s="2" t="inlineStr">
        <is>
          <t>B</t>
        </is>
      </c>
      <c r="C23" s="2" t="inlineStr">
        <is>
          <t>kelas_diklaim persis "A1;C1", pasangan yang sama dengan default pada koding mesin yang sudah ditarik.</t>
        </is>
      </c>
      <c r="D23" s="2" t="inlineStr">
        <is>
          <t>Turunkan ulang dari ancaman yang dinyatakan penulis; pastikan C1 (confused deputy) memang dibahas.</t>
        </is>
      </c>
      <c r="E23" t="inlineStr">
        <is>
          <t>SELESAI</t>
        </is>
      </c>
      <c r="F23" t="inlineStr">
        <is>
          <t>SELESAI: samuel-2026 (Sandbox RBAC) diturunkan ulang kelasnya menjadi A2;D1;C3 (isolasi sandbox; klaim C1 dicabut).</t>
        </is>
      </c>
    </row>
    <row r="24" ht="23.25" customHeight="1" s="21">
      <c r="A24" s="2" t="inlineStr">
        <is>
          <t>shiqiang-2025-secure-model-context-protocol-large</t>
        </is>
      </c>
      <c r="B24" s="2" t="inlineStr">
        <is>
          <t>B</t>
        </is>
      </c>
      <c r="C24" s="2" t="inlineStr">
        <is>
          <t>kelas_diklaim persis "A1;C1", pasangan yang sama dengan default pada koding mesin yang sudah ditarik.</t>
        </is>
      </c>
      <c r="D24" s="2" t="inlineStr">
        <is>
          <t>Turunkan ulang dari ancaman yang dinyatakan penulis; pastikan C1 (confused deputy) memang dibahas.</t>
        </is>
      </c>
      <c r="E24" t="inlineStr">
        <is>
          <t>SELESAI</t>
        </is>
      </c>
      <c r="F24" t="inlineStr">
        <is>
          <t>SELESAI: shiqiang-2025 (Dual Signatures) diturunkan ulang kelasnya menjadi A1;A3;D3 (tanda tangan digital; klaim C1 dicabut).</t>
        </is>
      </c>
    </row>
    <row r="25" ht="23.25" customHeight="1" s="21">
      <c r="A25" s="2" t="inlineStr">
        <is>
          <t>jaehyun-2025-preserving-onem2m-security-semantics-llm</t>
        </is>
      </c>
      <c r="B25" s="2" t="inlineStr">
        <is>
          <t>B</t>
        </is>
      </c>
      <c r="C25" s="2" t="inlineStr">
        <is>
          <t>kelas_diklaim persis "A1;C1", pasangan yang sama dengan default pada koding mesin yang sudah ditarik.</t>
        </is>
      </c>
      <c r="D25" s="2" t="inlineStr">
        <is>
          <t>Turunkan ulang dari ancaman yang dinyatakan penulis; pastikan C1 (confused deputy) memang dibahas.</t>
        </is>
      </c>
      <c r="E25" t="inlineStr">
        <is>
          <t>SELESAI</t>
        </is>
      </c>
      <c r="F25" t="inlineStr">
        <is>
          <t>SELESAI: jaehyun-2025 (oneM2M-MCP) diturunkan ulang kelasnya menjadi A2;C3 (semantik keamanan IoT; klaim C1 dicabut).</t>
        </is>
      </c>
    </row>
    <row r="26" ht="23.25" customHeight="1" s="21">
      <c r="A26" s="2" t="inlineStr">
        <is>
          <t>michelle-2025-missing-securing-model-context-protocol</t>
        </is>
      </c>
      <c r="B26" s="2" t="inlineStr">
        <is>
          <t>B</t>
        </is>
      </c>
      <c r="C26" s="2" t="inlineStr">
        <is>
          <t>kelas_diklaim persis "A1;C1", pasangan yang sama dengan default pada koding mesin yang sudah ditarik.</t>
        </is>
      </c>
      <c r="D26" s="2" t="inlineStr">
        <is>
          <t>Turunkan ulang dari ancaman yang dinyatakan penulis; pastikan C1 (confused deputy) memang dibahas.</t>
        </is>
      </c>
      <c r="E26" t="inlineStr">
        <is>
          <t>SELESAI</t>
        </is>
      </c>
      <c r="F26" t="inlineStr">
        <is>
          <t>SELESAI: michelle-2025 (DistilBERT Injection) diturunkan ulang kelasnya menjadi A2;C5;D1 (detektor command injection; klaim C1 dicabut).</t>
        </is>
      </c>
    </row>
    <row r="27" ht="23.25" customHeight="1" s="21">
      <c r="A27" s="2" t="inlineStr">
        <is>
          <t>biwei-2025-mcp-not-stand-misuse-cryptography</t>
        </is>
      </c>
      <c r="B27" s="2" t="inlineStr">
        <is>
          <t>B</t>
        </is>
      </c>
      <c r="C27" s="2" t="inlineStr">
        <is>
          <t>Baris pertahanan belum dikode (paradigma dan kolom evaluasi kosong).</t>
        </is>
      </c>
      <c r="D27" s="2" t="inlineStr">
        <is>
          <t>Selesaikan koding; bila tanpa teks lengkap, isi teks_lengkap_tersedia = tidak dan lengkapi mekanisme dari abstrak.</t>
        </is>
      </c>
      <c r="E27" t="inlineStr">
        <is>
          <t>SELESAI</t>
        </is>
      </c>
      <c r="F27" t="inlineStr">
        <is>
          <t>SELESAI: biwei-2025 dikodekan lengkap (MICRYSCOPE, content_inspection_static, author_run, C3;C5, L1).</t>
        </is>
      </c>
    </row>
    <row r="28" ht="23.25" customHeight="1" s="21">
      <c r="A28" s="2" t="inlineStr">
        <is>
          <t>charoes-2026-model-context-protocol-threat-modeling</t>
        </is>
      </c>
      <c r="B28" s="2" t="inlineStr">
        <is>
          <t>B</t>
        </is>
      </c>
      <c r="C28" s="2" t="inlineStr">
        <is>
          <t>Baris pertahanan belum dikode (paradigma dan kolom evaluasi kosong).</t>
        </is>
      </c>
      <c r="D28" s="2" t="inlineStr">
        <is>
          <t>Selesaikan koding; bila tanpa teks lengkap, isi teks_lengkap_tersedia = tidak dan lengkapi mekanisme dari abstrak.</t>
        </is>
      </c>
      <c r="E28" t="inlineStr">
        <is>
          <t>SELESAI</t>
        </is>
      </c>
      <c r="F28" t="inlineStr">
        <is>
          <t>SELESAI: charoes-2026-threat-modeling dikodekan sebagai survey_review (STRIDE/DREAD threat modeling).</t>
        </is>
      </c>
    </row>
    <row r="29" ht="23.25" customHeight="1" s="21">
      <c r="A29" s="2" t="inlineStr">
        <is>
          <t>haoran-2025-quantifying-conversation-drift-mcp-via</t>
        </is>
      </c>
      <c r="B29" s="2" t="inlineStr">
        <is>
          <t>B</t>
        </is>
      </c>
      <c r="C29" s="2" t="inlineStr">
        <is>
          <t>Baris pertahanan belum dikode (paradigma dan kolom evaluasi kosong).</t>
        </is>
      </c>
      <c r="D29" s="2" t="inlineStr">
        <is>
          <t>Selesaikan koding; bila tanpa teks lengkap, isi teks_lengkap_tersedia = tidak dan lengkapi mekanisme dari abstrak.</t>
        </is>
      </c>
      <c r="E29" t="inlineStr">
        <is>
          <t>SELESAI</t>
        </is>
      </c>
      <c r="F29" t="inlineStr">
        <is>
          <t>SELESAI: haoran-2025 dikodekan lengkap (SECMCP, content_inspection_runtime, author_run, A2;D2, L1).</t>
        </is>
      </c>
    </row>
    <row r="30" ht="23.25" customHeight="1" s="21">
      <c r="A30" s="2" t="inlineStr">
        <is>
          <t>mehrdad-2026-trustshiftprobe-characterizing-benchmarking-defending-staged</t>
        </is>
      </c>
      <c r="B30" s="2" t="inlineStr">
        <is>
          <t>B</t>
        </is>
      </c>
      <c r="C30" s="2" t="inlineStr">
        <is>
          <t>Baris pertahanan belum dikode (paradigma dan kolom evaluasi kosong).</t>
        </is>
      </c>
      <c r="D30" s="2" t="inlineStr">
        <is>
          <t>Selesaikan koding; bila tanpa teks lengkap, isi teks_lengkap_tersedia = tidak dan lengkapi mekanisme dari abstrak.</t>
        </is>
      </c>
      <c r="E30" t="inlineStr">
        <is>
          <t>SELESAI</t>
        </is>
      </c>
      <c r="F30" t="inlineStr">
        <is>
          <t>SELESAI: mehrdad-2026 dikodekan lengkap (SHIELD, content_inspection_runtime, author_run, B1;C5;D1, L1).</t>
        </is>
      </c>
    </row>
    <row r="31" ht="23.25" customHeight="1" s="21">
      <c r="A31" s="2" t="inlineStr">
        <is>
          <t>n-2025-breaking-protocol-security-analysis-model</t>
        </is>
      </c>
      <c r="B31" s="2" t="inlineStr">
        <is>
          <t>B</t>
        </is>
      </c>
      <c r="C31" s="2" t="inlineStr">
        <is>
          <t>Baris pertahanan belum dikode (paradigma dan kolom evaluasi kosong).</t>
        </is>
      </c>
      <c r="D31" s="2" t="inlineStr">
        <is>
          <t>Selesaikan koding; bila tanpa teks lengkap, isi teks_lengkap_tersedia = tidak dan lengkapi mekanisme dari abstrak.</t>
        </is>
      </c>
      <c r="E31" t="inlineStr">
        <is>
          <t>SELESAI</t>
        </is>
      </c>
      <c r="F31" t="inlineStr">
        <is>
          <t>SELESAI: n-2025 dikodekan lengkap sesuai Pedoman 0.3 untuk teks_lengkap_tersedia=tidak (defense_secondary, kolom evaluasi dikosongkan).</t>
        </is>
      </c>
    </row>
    <row r="32" ht="23.25" customHeight="1" s="21">
      <c r="A32" s="2" t="inlineStr">
        <is>
          <t>pengyu-2026-viper-mcp-detecting-exploiting-taint</t>
        </is>
      </c>
      <c r="B32" s="2" t="inlineStr">
        <is>
          <t>B</t>
        </is>
      </c>
      <c r="C32" s="2" t="inlineStr">
        <is>
          <t>Baris pertahanan belum dikode (paradigma dan kolom evaluasi kosong).</t>
        </is>
      </c>
      <c r="D32" s="2" t="inlineStr">
        <is>
          <t>Selesaikan koding; bila tanpa teks lengkap, isi teks_lengkap_tersedia = tidak dan lengkapi mekanisme dari abstrak.</t>
        </is>
      </c>
      <c r="E32" t="inlineStr">
        <is>
          <t>SELESAI</t>
        </is>
      </c>
      <c r="F32" t="inlineStr">
        <is>
          <t>SELESAI: pengyu-2026 dikodekan lengkap (VIPER-MCP, content_inspection_static, author_run, A2;C5;D1, L1).</t>
        </is>
      </c>
    </row>
    <row r="33" ht="23.25" customHeight="1" s="21">
      <c r="A33" s="2" t="inlineStr">
        <is>
          <t>saeid-2025-semantic-attacks-tool-augmented-llms</t>
        </is>
      </c>
      <c r="B33" s="2" t="inlineStr">
        <is>
          <t>B</t>
        </is>
      </c>
      <c r="C33" s="2" t="inlineStr">
        <is>
          <t>Baris pertahanan belum dikode (paradigma dan kolom evaluasi kosong).</t>
        </is>
      </c>
      <c r="D33" s="2" t="inlineStr">
        <is>
          <t>Selesaikan koding; bila tanpa teks lengkap, isi teks_lengkap_tersedia = tidak dan lengkapi mekanisme dari abstrak.</t>
        </is>
      </c>
      <c r="E33" t="inlineStr">
        <is>
          <t>SELESAI</t>
        </is>
      </c>
      <c r="F33" t="inlineStr">
        <is>
          <t>SELESAI: saeid-2025 dikodekan lengkap (unnamed:layered semantic defense, content_inspection_runtime, author_run, A1;A3;B1, L1).</t>
        </is>
      </c>
    </row>
    <row r="34" ht="23.25" customHeight="1" s="21">
      <c r="A34" s="2" t="inlineStr">
        <is>
          <t>saeid-2026-verifiable-manifest-signing-transparency-enforcement</t>
        </is>
      </c>
      <c r="B34" s="2" t="inlineStr">
        <is>
          <t>B</t>
        </is>
      </c>
      <c r="C34" s="2" t="inlineStr">
        <is>
          <t>Baris pertahanan belum dikode (paradigma dan kolom evaluasi kosong).</t>
        </is>
      </c>
      <c r="D34" s="2" t="inlineStr">
        <is>
          <t>Selesaikan koding; bila tanpa teks lengkap, isi teks_lengkap_tersedia = tidak dan lengkapi mekanisme dari abstrak.</t>
        </is>
      </c>
      <c r="E34" t="inlineStr">
        <is>
          <t>SELESAI</t>
        </is>
      </c>
      <c r="F34" t="inlineStr">
        <is>
          <t>SELESAI: saeid-2026-verifiable dikodekan lengkap (Verifiable Manifest Enforcement, integrity_provenance, author_run, A1;B1;D3, L1).</t>
        </is>
      </c>
    </row>
    <row r="35" ht="23.25" customHeight="1" s="21">
      <c r="A35" s="2" t="inlineStr">
        <is>
          <t>sonu-2025-mcp-guardian-security-first-layer</t>
        </is>
      </c>
      <c r="B35" s="2" t="inlineStr">
        <is>
          <t>B</t>
        </is>
      </c>
      <c r="C35" s="2" t="inlineStr">
        <is>
          <t>Baris pertahanan belum dikode (paradigma dan kolom evaluasi kosong).</t>
        </is>
      </c>
      <c r="D35" s="2" t="inlineStr">
        <is>
          <t>Selesaikan koding; bila tanpa teks lengkap, isi teks_lengkap_tersedia = tidak dan lengkapi mekanisme dari abstrak.</t>
        </is>
      </c>
      <c r="E35" t="inlineStr">
        <is>
          <t>SELESAI</t>
        </is>
      </c>
      <c r="F35" t="inlineStr">
        <is>
          <t>SELESAI: sonu-2025 dikodekan lengkap (MCP Guardian, deterministic_policy, author_run, A2;C3;C5, L1).</t>
        </is>
      </c>
    </row>
    <row r="36" ht="23.25" customHeight="1" s="21">
      <c r="A36" s="2" t="inlineStr">
        <is>
          <t>charoes-2026-auditing-mcp-servers-privileged-tool</t>
        </is>
      </c>
      <c r="B36" s="2" t="inlineStr">
        <is>
          <t>B</t>
        </is>
      </c>
      <c r="C36" s="2" t="inlineStr">
        <is>
          <t>Baris pertahanan belum dikode (paradigma dan kolom evaluasi kosong).</t>
        </is>
      </c>
      <c r="D36" s="2" t="inlineStr">
        <is>
          <t>Selesaikan koding; bila tanpa teks lengkap, isi teks_lengkap_tersedia = tidak dan lengkapi mekanisme dari abstrak.</t>
        </is>
      </c>
      <c r="E36" t="inlineStr">
        <is>
          <t>SELESAI</t>
        </is>
      </c>
      <c r="F36" t="inlineStr">
        <is>
          <t>SELESAI: charoes-2026-auditing dikodekan lengkap (mcp-sec-audit, content_inspection_static, author_run, C5, L1).</t>
        </is>
      </c>
    </row>
    <row r="37" ht="23.25" customHeight="1" s="21">
      <c r="A37" s="2" t="inlineStr">
        <is>
          <t>manideep-2026-enterprise-identity-integration-ai-assisted</t>
        </is>
      </c>
      <c r="B37" s="2" t="inlineStr">
        <is>
          <t>B</t>
        </is>
      </c>
      <c r="C37" s="2" t="inlineStr">
        <is>
          <t>Baris pertahanan belum dikode (paradigma dan kolom evaluasi kosong).</t>
        </is>
      </c>
      <c r="D37" s="2" t="inlineStr">
        <is>
          <t>Selesaikan koding; bila tanpa teks lengkap, isi teks_lengkap_tersedia = tidak dan lengkapi mekanisme dari abstrak.</t>
        </is>
      </c>
      <c r="E37" t="inlineStr">
        <is>
          <t>SELESAI</t>
        </is>
      </c>
      <c r="F37" t="inlineStr">
        <is>
          <t>SELESAI: manideep-2026 dikodekan lengkap (Enterprise MCP OIDC/OAuth Architecture, deterministic_policy, proposal_only, C1;C3, L0).</t>
        </is>
      </c>
    </row>
    <row r="38" ht="23.25" customHeight="1" s="21">
      <c r="A38" s="2" t="inlineStr">
        <is>
          <t>om-2026-chainwatch-kill-chain-aligned-sequential</t>
        </is>
      </c>
      <c r="B38" s="2" t="inlineStr">
        <is>
          <t>B</t>
        </is>
      </c>
      <c r="C38" s="2" t="inlineStr">
        <is>
          <t>Baris pertahanan belum dikode (paradigma dan kolom evaluasi kosong).</t>
        </is>
      </c>
      <c r="D38" s="2" t="inlineStr">
        <is>
          <t>Selesaikan koding; bila tanpa teks lengkap, isi teks_lengkap_tersedia = tidak dan lengkapi mekanisme dari abstrak.</t>
        </is>
      </c>
      <c r="E38" t="inlineStr">
        <is>
          <t>SELESAI</t>
        </is>
      </c>
      <c r="F38" t="inlineStr">
        <is>
          <t>SELESAI: om-2026 dikodekan lengkap (ChainWatch, content_inspection_runtime, proposal_only, D1;D2, L0).</t>
        </is>
      </c>
    </row>
    <row r="39" ht="23.25" customHeight="1" s="21">
      <c r="A39" s="2" t="inlineStr">
        <is>
          <t>saeid-2026-game-theoretic-multi-agent-control</t>
        </is>
      </c>
      <c r="B39" s="2" t="inlineStr">
        <is>
          <t>B</t>
        </is>
      </c>
      <c r="C39" s="2" t="inlineStr">
        <is>
          <t>Baris pertahanan belum dikode (paradigma dan kolom evaluasi kosong).</t>
        </is>
      </c>
      <c r="D39" s="2" t="inlineStr">
        <is>
          <t>Selesaikan koding; bila tanpa teks lengkap, isi teks_lengkap_tersedia = tidak dan lengkapi mekanisme dari abstrak.</t>
        </is>
      </c>
      <c r="E39" t="inlineStr">
        <is>
          <t>SELESAI</t>
        </is>
      </c>
      <c r="F39" t="inlineStr">
        <is>
          <t>SELESAI: saeid-2026-game dikodekan lengkap (GT-MCP, content_inspection_runtime, author_run, A2;D2, L1).</t>
        </is>
      </c>
    </row>
    <row r="40" ht="23.25" customHeight="1" s="21">
      <c r="A40" s="2" t="inlineStr">
        <is>
          <t>sunil-2026-aip-agent-identity-protocol-verifiable</t>
        </is>
      </c>
      <c r="B40" s="2" t="inlineStr">
        <is>
          <t>B</t>
        </is>
      </c>
      <c r="C40" s="2" t="inlineStr">
        <is>
          <t>Baris pertahanan belum dikode (paradigma dan kolom evaluasi kosong).</t>
        </is>
      </c>
      <c r="D40" s="2" t="inlineStr">
        <is>
          <t>Selesaikan koding; bila tanpa teks lengkap, isi teks_lengkap_tersedia = tidak dan lengkapi mekanisme dari abstrak.</t>
        </is>
      </c>
      <c r="E40" t="inlineStr">
        <is>
          <t>SELESAI</t>
        </is>
      </c>
      <c r="F40" t="inlineStr">
        <is>
          <t>SELESAI: sunil-2026-aip dikodekan lengkap (AIP, capability_or_token, author_run, C1;C2;C3, L1).</t>
        </is>
      </c>
    </row>
    <row r="41" ht="23.25" customHeight="1" s="21">
      <c r="A41" s="2" t="inlineStr">
        <is>
          <t>ting-2026-tool-connection-execution-control-benchmarking</t>
        </is>
      </c>
      <c r="B41" s="2" t="inlineStr">
        <is>
          <t>B</t>
        </is>
      </c>
      <c r="C41" s="2" t="inlineStr">
        <is>
          <t>Baris pertahanan belum dikode (paradigma dan kolom evaluasi kosong).</t>
        </is>
      </c>
      <c r="D41" s="2" t="inlineStr">
        <is>
          <t>Selesaikan koding; bila tanpa teks lengkap, isi teks_lengkap_tersedia = tidak dan lengkapi mekanisme dari abstrak.</t>
        </is>
      </c>
      <c r="E41" t="inlineStr">
        <is>
          <t>SELESAI</t>
        </is>
      </c>
      <c r="F41" t="inlineStr">
        <is>
          <t>SELESAI: ting-2026 dikodekan lengkap (HCP Runtime, capability_or_token, author_run, A1;C1;C5;D1, L1).</t>
        </is>
      </c>
    </row>
    <row r="42" ht="23.25" customHeight="1" s="21">
      <c r="A42" s="2" t="inlineStr">
        <is>
          <t>xiaofan-2025-first-look-security-issues-model</t>
        </is>
      </c>
      <c r="B42" s="2" t="inlineStr">
        <is>
          <t>B</t>
        </is>
      </c>
      <c r="C42" s="2" t="inlineStr">
        <is>
          <t>Baris pertahanan belum dikode (paradigma dan kolom evaluasi kosong).</t>
        </is>
      </c>
      <c r="D42" s="2" t="inlineStr">
        <is>
          <t>Selesaikan koding; bila tanpa teks lengkap, isi teks_lengkap_tersedia = tidak dan lengkapi mekanisme dari abstrak.</t>
        </is>
      </c>
      <c r="E42" t="inlineStr">
        <is>
          <t>SELESAI</t>
        </is>
      </c>
      <c r="F42" t="inlineStr">
        <is>
          <t>SELESAI: xiaofan-2025 dikodekan sebagai benchmark_measurement (studi pengukuran MCPInspect).</t>
        </is>
      </c>
    </row>
    <row r="43" ht="23.25" customHeight="1" s="21">
      <c r="A43" s="2" t="inlineStr">
        <is>
          <t>xinyi-2026-unsafe-flow-uncovering-bidirectional-data</t>
        </is>
      </c>
      <c r="B43" s="2" t="inlineStr">
        <is>
          <t>B</t>
        </is>
      </c>
      <c r="C43" s="2" t="inlineStr">
        <is>
          <t>Baris pertahanan belum dikode (paradigma dan kolom evaluasi kosong).</t>
        </is>
      </c>
      <c r="D43" s="2" t="inlineStr">
        <is>
          <t>Selesaikan koding; bila tanpa teks lengkap, isi teks_lengkap_tersedia = tidak dan lengkapi mekanisme dari abstrak.</t>
        </is>
      </c>
      <c r="E43" t="inlineStr">
        <is>
          <t>SELESAI</t>
        </is>
      </c>
      <c r="F43" t="inlineStr">
        <is>
          <t>SELESAI: xinyi-2026-unsafe dikodekan lengkap (MCP-BiFlow, content_inspection_static, author_run, A2;C5;D1, L1).</t>
        </is>
      </c>
    </row>
    <row r="44" ht="23.25" customHeight="1" s="21">
      <c r="A44" s="2" t="inlineStr">
        <is>
          <t>yuval-2026-tool-orchestration-code-execution-study</t>
        </is>
      </c>
      <c r="B44" s="2" t="inlineStr">
        <is>
          <t>B</t>
        </is>
      </c>
      <c r="C44" s="2" t="inlineStr">
        <is>
          <t>Baris pertahanan belum dikode (paradigma dan kolom evaluasi kosong).</t>
        </is>
      </c>
      <c r="D44" s="2" t="inlineStr">
        <is>
          <t>Selesaikan koding; bila tanpa teks lengkap, isi teks_lengkap_tersedia = tidak dan lengkapi mekanisme dari abstrak.</t>
        </is>
      </c>
      <c r="E44" t="inlineStr">
        <is>
          <t>SELESAI</t>
        </is>
      </c>
      <c r="F44" t="inlineStr">
        <is>
          <t>SELESAI: yuval-2026 dikodekan lengkap (CE-MCP, isolation_containment, author_run, C5;D1, defense_secondary, L1).</t>
        </is>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D13"/>
  <sheetViews>
    <sheetView zoomScaleNormal="100" workbookViewId="0">
      <selection activeCell="A1" sqref="A1"/>
    </sheetView>
  </sheetViews>
  <sheetFormatPr baseColWidth="8" defaultColWidth="8.6328125" defaultRowHeight="14.5"/>
  <cols>
    <col width="18" customWidth="1" style="21" min="1" max="1"/>
    <col width="32" customWidth="1" style="21" min="2" max="2"/>
    <col width="70" customWidth="1" style="21" min="3" max="3"/>
    <col width="60" customWidth="1" style="21" min="4" max="4"/>
  </cols>
  <sheetData>
    <row r="1" ht="15" customHeight="1" s="21">
      <c r="A1" s="19" t="inlineStr">
        <is>
          <t>kolom</t>
        </is>
      </c>
      <c r="B1" s="19" t="inlineStr">
        <is>
          <t>nilai di lembar</t>
        </is>
      </c>
      <c r="C1" s="19" t="inlineStr">
        <is>
          <t>padanan di daftar</t>
        </is>
      </c>
      <c r="D1" s="19" t="inlineStr">
        <is>
          <t>catatan</t>
        </is>
      </c>
    </row>
    <row r="2" ht="23.25" customHeight="1" s="21">
      <c r="A2" s="2" t="inlineStr">
        <is>
          <t>paradigma</t>
        </is>
      </c>
      <c r="B2" s="2" t="inlineStr">
        <is>
          <t>ml_detector</t>
        </is>
      </c>
      <c r="C2" s="2" t="inlineStr">
        <is>
          <t>content_inspection_runtime (bila berjalan saat runtime) atau content_inspection_static (bila analisis offline)</t>
        </is>
      </c>
      <c r="D2" s="2" t="inlineStr">
        <is>
          <t>isi llm_dlm_keputusan = ya bila klasifikator ML/LLM menentukan keputusan</t>
        </is>
      </c>
    </row>
    <row r="3" ht="15" customHeight="1" s="21">
      <c r="A3" s="2" t="inlineStr">
        <is>
          <t>paradigma</t>
        </is>
      </c>
      <c r="B3" s="2" t="inlineStr">
        <is>
          <t>llm_judge</t>
        </is>
      </c>
      <c r="C3" s="2" t="inlineStr">
        <is>
          <t>content_inspection_runtime atau content_inspection_static</t>
        </is>
      </c>
      <c r="D3" s="2" t="inlineStr">
        <is>
          <t>llm_dlm_keputusan harus ya</t>
        </is>
      </c>
    </row>
    <row r="4" ht="15" customHeight="1" s="21">
      <c r="A4" s="2" t="inlineStr">
        <is>
          <t>paradigma</t>
        </is>
      </c>
      <c r="B4" s="2" t="inlineStr">
        <is>
          <t>human_in_the_loop</t>
        </is>
      </c>
      <c r="C4" s="2" t="inlineStr">
        <is>
          <t>human_approval</t>
        </is>
      </c>
      <c r="D4" s="2" t="n"/>
    </row>
    <row r="5" ht="15" customHeight="1" s="21">
      <c r="A5" s="2" t="inlineStr">
        <is>
          <t>paradigma</t>
        </is>
      </c>
      <c r="B5" s="2" t="inlineStr">
        <is>
          <t>beberapa label dipisah titik koma</t>
        </is>
      </c>
      <c r="C5" s="2" t="inlineStr">
        <is>
          <t>ambil label pertama sebagai paradigma primer</t>
        </is>
      </c>
      <c r="D5" s="2" t="inlineStr">
        <is>
          <t>label kedua dan seterusnya cukup di ringkasan_mekanisme</t>
        </is>
      </c>
    </row>
    <row r="6" ht="15" customHeight="1" s="21">
      <c r="A6" s="2" t="inlineStr">
        <is>
          <t>titik_penegakan</t>
        </is>
      </c>
      <c r="B6" s="2" t="inlineStr">
        <is>
          <t>host_proxy</t>
        </is>
      </c>
      <c r="C6" s="2" t="inlineStr">
        <is>
          <t>gateway_proxy bila menengahi klien dan server; H bila di dalam aplikasi host</t>
        </is>
      </c>
      <c r="D6" s="2" t="n"/>
    </row>
    <row r="7" ht="15" customHeight="1" s="21">
      <c r="A7" s="2" t="inlineStr">
        <is>
          <t>titik_penegakan</t>
        </is>
      </c>
      <c r="B7" s="2" t="inlineStr">
        <is>
          <t>host_client</t>
        </is>
      </c>
      <c r="C7" s="2" t="inlineStr">
        <is>
          <t>C</t>
        </is>
      </c>
      <c r="D7" s="2" t="n"/>
    </row>
    <row r="8" ht="15" customHeight="1" s="21">
      <c r="A8" s="2" t="inlineStr">
        <is>
          <t>titik_penegakan</t>
        </is>
      </c>
      <c r="B8" s="2" t="inlineStr">
        <is>
          <t>mcp_server</t>
        </is>
      </c>
      <c r="C8" s="2" t="inlineStr">
        <is>
          <t>S</t>
        </is>
      </c>
      <c r="D8" s="2" t="n"/>
    </row>
    <row r="9" ht="15" customHeight="1" s="21">
      <c r="A9" s="2" t="inlineStr">
        <is>
          <t>asal_set_serangan</t>
        </is>
      </c>
      <c r="B9" s="2" t="inlineStr">
        <is>
          <t>sintetis</t>
        </is>
      </c>
      <c r="C9" s="2" t="inlineStr">
        <is>
          <t>authors_own</t>
        </is>
      </c>
      <c r="D9" s="2" t="n"/>
    </row>
    <row r="10" ht="15" customHeight="1" s="21">
      <c r="A10" s="2" t="inlineStr">
        <is>
          <t>asal_set_serangan</t>
        </is>
      </c>
      <c r="B10" s="2" t="inlineStr">
        <is>
          <t>kombinasi</t>
        </is>
      </c>
      <c r="C10" s="2" t="inlineStr">
        <is>
          <t>mixed</t>
        </is>
      </c>
      <c r="D10" s="2" t="n"/>
    </row>
    <row r="11" ht="15" customHeight="1" s="21">
      <c r="A11" s="2" t="inlineStr">
        <is>
          <t>asal_set_serangan</t>
        </is>
      </c>
      <c r="B11" s="2" t="inlineStr">
        <is>
          <t>benchmark_publik</t>
        </is>
      </c>
      <c r="C11" s="2" t="inlineStr">
        <is>
          <t>third_party_public</t>
        </is>
      </c>
      <c r="D11" s="2" t="inlineStr">
        <is>
          <t>tulis nama benchmark di catatan</t>
        </is>
      </c>
    </row>
    <row r="12" ht="15" customHeight="1" s="21">
      <c r="A12" s="2" t="inlineStr">
        <is>
          <t>deployment</t>
        </is>
      </c>
      <c r="B12" s="2" t="inlineStr">
        <is>
          <t>prototype</t>
        </is>
      </c>
      <c r="C12" s="2" t="inlineStr">
        <is>
          <t>prototype_open_source bila kode publik; none bila tidak</t>
        </is>
      </c>
      <c r="D12" s="2" t="n"/>
    </row>
    <row r="13" ht="15" customHeight="1" s="21">
      <c r="A13" s="2" t="inlineStr">
        <is>
          <t>deployment</t>
        </is>
      </c>
      <c r="B13" s="2" t="inlineStr">
        <is>
          <t>produksi_privat</t>
        </is>
      </c>
      <c r="C13" s="2" t="inlineStr">
        <is>
          <t>produksi_bukti_publik (bila ada dokumentasi resmi bertanggal) atau none</t>
        </is>
      </c>
      <c r="D13" s="2" t="inlineStr">
        <is>
          <t>lihat Perlu_Tinjau</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AH86"/>
  <sheetViews>
    <sheetView workbookViewId="0">
      <selection activeCell="A1" sqref="A1"/>
    </sheetView>
  </sheetViews>
  <sheetFormatPr baseColWidth="8" defaultRowHeight="15"/>
  <sheetData>
    <row r="1">
      <c r="A1" t="inlineStr">
        <is>
          <t>record_id</t>
        </is>
      </c>
      <c r="B1" t="inlineStr">
        <is>
          <t>judul</t>
        </is>
      </c>
      <c r="C1" t="inlineStr">
        <is>
          <t>tahun</t>
        </is>
      </c>
      <c r="D1" t="inlineStr">
        <is>
          <t>tier</t>
        </is>
      </c>
      <c r="E1" t="inlineStr">
        <is>
          <t>triase</t>
        </is>
      </c>
      <c r="F1" t="inlineStr">
        <is>
          <t>agent_role (referensi)</t>
        </is>
      </c>
      <c r="G1" t="inlineStr">
        <is>
          <t>tautan</t>
        </is>
      </c>
      <c r="H1" t="inlineStr">
        <is>
          <t>teks_lengkap_tersedia</t>
        </is>
      </c>
      <c r="I1" t="inlineStr">
        <is>
          <t>peran</t>
        </is>
      </c>
      <c r="J1" t="inlineStr">
        <is>
          <t>nama_pertahanan</t>
        </is>
      </c>
      <c r="K1" t="inlineStr">
        <is>
          <t>paradigma</t>
        </is>
      </c>
      <c r="L1" t="inlineStr">
        <is>
          <t>ringkasan_mekanisme (kata sendiri, maks 2 kalimat)</t>
        </is>
      </c>
      <c r="M1" t="inlineStr">
        <is>
          <t>llm_dlm_keputusan</t>
        </is>
      </c>
      <c r="N1" t="inlineStr">
        <is>
          <t>titik_penegakan</t>
        </is>
      </c>
      <c r="O1" t="inlineStr">
        <is>
          <t>crossings (R1-R7, pisah ;)</t>
        </is>
      </c>
      <c r="P1" t="inlineStr">
        <is>
          <t>kelas_diklaim (A1-D3, pisah ;)</t>
        </is>
      </c>
      <c r="Q1" t="inlineStr">
        <is>
          <t>kelas_dievaluasi (hanya yang ada eksperimen)</t>
        </is>
      </c>
      <c r="R1" t="inlineStr">
        <is>
          <t>jenis_evaluasi</t>
        </is>
      </c>
      <c r="S1" t="inlineStr">
        <is>
          <t>evaluator_independen (record_id)</t>
        </is>
      </c>
      <c r="T1" t="inlineStr">
        <is>
          <t>asal_set_serangan</t>
        </is>
      </c>
      <c r="U1" t="inlineStr">
        <is>
          <t>adaptif</t>
        </is>
      </c>
      <c r="V1" t="inlineStr">
        <is>
          <t>kutipan_adaptif (maks 25 kata)</t>
        </is>
      </c>
      <c r="W1" t="inlineStr">
        <is>
          <t>lokasi_bukti (bagian/tabel/hal.)</t>
        </is>
      </c>
      <c r="X1" t="inlineStr">
        <is>
          <t>deployment</t>
        </is>
      </c>
      <c r="Y1" t="inlineStr">
        <is>
          <t>biaya_utilitas</t>
        </is>
      </c>
      <c r="Z1" t="inlineStr">
        <is>
          <t>catatan</t>
        </is>
      </c>
      <c r="AA1" t="inlineStr">
        <is>
          <t>maturitas (otomatis)</t>
        </is>
      </c>
      <c r="AB1" t="inlineStr">
        <is>
          <t>cek_konsistensi (otomatis)</t>
        </is>
      </c>
      <c r="AC1" t="inlineStr">
        <is>
          <t>korpus_v5</t>
        </is>
      </c>
      <c r="AD1" t="inlineStr">
        <is>
          <t>kode_eksklusi_v5</t>
        </is>
      </c>
      <c r="AE1" t="inlineStr">
        <is>
          <t>catatan_audit_v5</t>
        </is>
      </c>
      <c r="AF1" t="inlineStr">
        <is>
          <t>sumber_penambahan</t>
        </is>
      </c>
      <c r="AG1" t="inlineStr">
        <is>
          <t>tingkat_kematangan</t>
        </is>
      </c>
      <c r="AH1" t="inlineStr">
        <is>
          <t>evaluasi_adaptif</t>
        </is>
      </c>
    </row>
    <row r="2">
      <c r="A2" t="inlineStr">
        <is>
          <t>aditi-2025-model-context-protocol-vision-systems</t>
        </is>
      </c>
      <c r="B2" t="inlineStr">
        <is>
          <t>Model Context Protocol for Vision Systems: Audit, Security, and Protocol Extensions</t>
        </is>
      </c>
      <c r="C2" t="n">
        <v>2025</v>
      </c>
      <c r="D2" t="inlineStr">
        <is>
          <t>E2</t>
        </is>
      </c>
      <c r="E2" t="inlineStr">
        <is>
          <t>kandidat_agent</t>
        </is>
      </c>
      <c r="F2" t="inlineStr">
        <is>
          <t>primary</t>
        </is>
      </c>
      <c r="G2" t="inlineStr">
        <is>
          <t>https://arxiv.org/abs/2509.22814</t>
        </is>
      </c>
      <c r="H2" t="inlineStr">
        <is>
          <t>ya</t>
        </is>
      </c>
      <c r="I2" t="inlineStr">
        <is>
          <t>proposal_only</t>
        </is>
      </c>
      <c r="J2" t="inlineStr">
        <is>
          <t>unnamed:vision-protocol-extensions</t>
        </is>
      </c>
      <c r="K2" t="inlineStr">
        <is>
          <t>protocol_provision</t>
        </is>
      </c>
      <c r="L2" t="inlineStr">
        <is>
          <t>Usulan ekstensi skema semantik MCP dan validator prototipe untuk membatasi aksi visi di testbed terkontrol.</t>
        </is>
      </c>
      <c r="M2" t="inlineStr">
        <is>
          <t>tidak</t>
        </is>
      </c>
      <c r="N2" t="inlineStr">
        <is>
          <t>registry</t>
        </is>
      </c>
      <c r="O2" t="inlineStr">
        <is>
          <t>R2;R5</t>
        </is>
      </c>
      <c r="P2" t="inlineStr">
        <is>
          <t>A3;B3;C5</t>
        </is>
      </c>
      <c r="Q2" t="inlineStr"/>
      <c r="R2" t="inlineStr">
        <is>
          <t>none</t>
        </is>
      </c>
      <c r="S2" t="inlineStr"/>
      <c r="T2" t="inlineStr">
        <is>
          <t>none</t>
        </is>
      </c>
      <c r="U2" t="inlineStr">
        <is>
          <t>n/a_tanpa_evaluasi</t>
        </is>
      </c>
      <c r="V2" t="inlineStr"/>
      <c r="W2" t="inlineStr"/>
      <c r="X2" t="inlineStr">
        <is>
          <t>none</t>
        </is>
      </c>
      <c r="Y2" t="inlineStr">
        <is>
          <t>not_reported</t>
        </is>
      </c>
      <c r="Z2" t="inlineStr">
        <is>
          <t>Proposal ekstensi protokol MCP dengan skema semantik dan validator prototipe tanpa evaluasi terhadap serangan. Catatan deployment: prototipe internal/eksperimental (belum dirilis secara publik).</t>
        </is>
      </c>
      <c r="AA2" t="inlineStr">
        <is>
          <t>L0</t>
        </is>
      </c>
      <c r="AB2" t="inlineStr"/>
      <c r="AC2" t="inlineStr">
        <is>
          <t>include</t>
        </is>
      </c>
      <c r="AD2" t="inlineStr"/>
      <c r="AE2" t="inlineStr"/>
      <c r="AF2" t="inlineStr">
        <is>
          <t>Baseline (148-corpus)</t>
        </is>
      </c>
      <c r="AG2" t="inlineStr">
        <is>
          <t>L0</t>
        </is>
      </c>
      <c r="AH2" t="inlineStr">
        <is>
          <t>N/A</t>
        </is>
      </c>
    </row>
    <row r="3">
      <c r="A3" t="inlineStr">
        <is>
          <t>alfonso-2026-mcp-seclint-open-source-static</t>
        </is>
      </c>
      <c r="B3" t="inlineStr">
        <is>
          <t>MCP-SecLint: An Open-Source Static Analyzer for Detecting Vulnerabilities in LLM Tool Integrations</t>
        </is>
      </c>
      <c r="C3" t="n">
        <v>2026</v>
      </c>
      <c r="D3" t="inlineStr">
        <is>
          <t>E1</t>
        </is>
      </c>
      <c r="E3" t="inlineStr">
        <is>
          <t>kandidat_agent</t>
        </is>
      </c>
      <c r="F3" t="inlineStr">
        <is>
          <t>primary</t>
        </is>
      </c>
      <c r="G3" t="inlineStr">
        <is>
          <t>https://doi.org/10.1145/3806007.3810961</t>
        </is>
      </c>
      <c r="H3" t="inlineStr">
        <is>
          <t>ya</t>
        </is>
      </c>
      <c r="I3" t="inlineStr">
        <is>
          <t>defense_primary</t>
        </is>
      </c>
      <c r="J3" t="inlineStr">
        <is>
          <t>MCP-SecLint</t>
        </is>
      </c>
      <c r="K3" t="inlineStr">
        <is>
          <t>content_inspection_static</t>
        </is>
      </c>
      <c r="L3" t="inlineStr">
        <is>
          <t>Penganalisis statis offline kode server MCP untuk mendeteksi eksekusi perintah berbahaya, token passthrough, dan endpoint tanpa autentikasi.</t>
        </is>
      </c>
      <c r="M3" t="inlineStr">
        <is>
          <t>tidak</t>
        </is>
      </c>
      <c r="N3" t="inlineStr">
        <is>
          <t>offline_analysis</t>
        </is>
      </c>
      <c r="O3" t="inlineStr">
        <is>
          <t>R4;R5</t>
        </is>
      </c>
      <c r="P3" t="inlineStr">
        <is>
          <t>C5;C3</t>
        </is>
      </c>
      <c r="Q3" t="inlineStr">
        <is>
          <t>C5;C3</t>
        </is>
      </c>
      <c r="R3" t="inlineStr">
        <is>
          <t>author_run</t>
        </is>
      </c>
      <c r="S3" t="inlineStr"/>
      <c r="T3" t="inlineStr">
        <is>
          <t>third_party_public</t>
        </is>
      </c>
      <c r="U3" t="inlineStr">
        <is>
          <t>tidak</t>
        </is>
      </c>
      <c r="V3" t="inlineStr"/>
      <c r="W3" t="inlineStr">
        <is>
          <t>Abstract / hal. 1</t>
        </is>
      </c>
      <c r="X3" t="inlineStr">
        <is>
          <t>none</t>
        </is>
      </c>
      <c r="Y3" t="inlineStr">
        <is>
          <t>not_reported</t>
        </is>
      </c>
      <c r="Z3" t="inlineStr">
        <is>
          <t>Penganalisis statis MCP-SecLint untuk mendeteksi dangerous sinks (C5) dan unauthenticated endpoints (C3) pada implementasi server MCP. Klaim C1 dicabut karena analisis statis kode server tidak menangani confused deputy planner. Catatan deployment: prototipe internal/eksperimental (belum dirilis secara publik).</t>
        </is>
      </c>
      <c r="AA3" t="inlineStr">
        <is>
          <t>L1</t>
        </is>
      </c>
      <c r="AB3" t="inlineStr"/>
      <c r="AC3" t="inlineStr">
        <is>
          <t>include</t>
        </is>
      </c>
      <c r="AD3" t="inlineStr"/>
      <c r="AE3" t="inlineStr"/>
      <c r="AF3" t="inlineStr">
        <is>
          <t>Baseline (148-corpus)</t>
        </is>
      </c>
      <c r="AG3" t="inlineStr">
        <is>
          <t>L1</t>
        </is>
      </c>
      <c r="AH3" t="inlineStr">
        <is>
          <t>No</t>
        </is>
      </c>
    </row>
    <row r="4">
      <c r="A4" t="inlineStr">
        <is>
          <t>alfredo-2026-attested-tool-server-admission-security</t>
        </is>
      </c>
      <c r="B4" t="inlineStr">
        <is>
          <t>Attested Tool-Server Admission: A Security Extension to the Model Context Protocol</t>
        </is>
      </c>
      <c r="C4" t="n">
        <v>2026</v>
      </c>
      <c r="D4" t="inlineStr">
        <is>
          <t>E2</t>
        </is>
      </c>
      <c r="E4" t="inlineStr">
        <is>
          <t>kandidat_agent</t>
        </is>
      </c>
      <c r="F4" t="inlineStr">
        <is>
          <t>primary</t>
        </is>
      </c>
      <c r="G4" t="inlineStr">
        <is>
          <t>https://arxiv.org/abs/2605.24248</t>
        </is>
      </c>
      <c r="H4" t="inlineStr">
        <is>
          <t>ya</t>
        </is>
      </c>
      <c r="I4" t="inlineStr">
        <is>
          <t>defense_primary</t>
        </is>
      </c>
      <c r="J4" t="inlineStr">
        <is>
          <t>mcp-attested</t>
        </is>
      </c>
      <c r="K4" t="inlineStr">
        <is>
          <t>integrity_provenance</t>
        </is>
      </c>
      <c r="L4" t="inlineStr">
        <is>
          <t>Mekanisme admisi server teratestasi kriptografis Ed25519 dengan validasi clearance assertion terhadap root trust pinned dan allowlist deny-by-default.</t>
        </is>
      </c>
      <c r="M4" t="inlineStr">
        <is>
          <t>tidak</t>
        </is>
      </c>
      <c r="N4" t="inlineStr">
        <is>
          <t>registry</t>
        </is>
      </c>
      <c r="O4" t="inlineStr">
        <is>
          <t>R7</t>
        </is>
      </c>
      <c r="P4" t="inlineStr">
        <is>
          <t>B1;B2</t>
        </is>
      </c>
      <c r="Q4" t="inlineStr">
        <is>
          <t>B1;B2</t>
        </is>
      </c>
      <c r="R4" t="inlineStr">
        <is>
          <t>author_run</t>
        </is>
      </c>
      <c r="S4" t="inlineStr"/>
      <c r="T4" t="inlineStr">
        <is>
          <t>authors_own</t>
        </is>
      </c>
      <c r="U4" t="inlineStr">
        <is>
          <t>tidak</t>
        </is>
      </c>
      <c r="V4" t="inlineStr"/>
      <c r="W4" t="inlineStr">
        <is>
          <t>Sec 7.1; Sec 7.2; Tabel hal. 12</t>
        </is>
      </c>
      <c r="X4" t="inlineStr">
        <is>
          <t>none</t>
        </is>
      </c>
      <c r="Y4" t="inlineStr">
        <is>
          <t>not_reported</t>
        </is>
      </c>
      <c r="Z4" t="inlineStr">
        <is>
          <t>Mekanisme admisi server teratestasi Ed25519 mcp-attested dengan allowlist deny-by-default, diuji pada 48 kasus tes hermetik &amp; adversarial. Catatan deployment: prototipe internal/eksperimental (belum dirilis secara publik).</t>
        </is>
      </c>
      <c r="AA4" t="inlineStr">
        <is>
          <t>L1</t>
        </is>
      </c>
      <c r="AB4" t="inlineStr"/>
      <c r="AC4" t="inlineStr">
        <is>
          <t>include</t>
        </is>
      </c>
      <c r="AD4" t="inlineStr"/>
      <c r="AE4" t="inlineStr"/>
      <c r="AF4" t="inlineStr">
        <is>
          <t>Baseline (148-corpus)</t>
        </is>
      </c>
      <c r="AG4" t="inlineStr">
        <is>
          <t>L1</t>
        </is>
      </c>
      <c r="AH4" t="inlineStr">
        <is>
          <t>No</t>
        </is>
      </c>
    </row>
    <row r="5">
      <c r="A5" t="inlineStr">
        <is>
          <t>baichao-2026-flowguard-signals-evidence-mcp-security</t>
        </is>
      </c>
      <c r="B5" t="inlineStr">
        <is>
          <t>FlowGuard: From Signals to Evidence for MCP Security Detection</t>
        </is>
      </c>
      <c r="C5" t="n">
        <v>2026</v>
      </c>
      <c r="D5" t="inlineStr">
        <is>
          <t>E2</t>
        </is>
      </c>
      <c r="E5" t="inlineStr">
        <is>
          <t>kandidat_agent</t>
        </is>
      </c>
      <c r="F5" t="inlineStr">
        <is>
          <t>primary</t>
        </is>
      </c>
      <c r="G5" t="inlineStr">
        <is>
          <t>https://arxiv.org/abs/2607.14754</t>
        </is>
      </c>
      <c r="H5" t="inlineStr">
        <is>
          <t>ya</t>
        </is>
      </c>
      <c r="I5" t="inlineStr">
        <is>
          <t>defense_primary</t>
        </is>
      </c>
      <c r="J5" t="inlineStr">
        <is>
          <t>FlowGuard</t>
        </is>
      </c>
      <c r="K5" t="inlineStr">
        <is>
          <t>content_inspection_runtime</t>
        </is>
      </c>
      <c r="L5" t="inlineStr">
        <is>
          <t>Sistem pemindai keamanan MCP aktif berbasis probing bertahap (recon &amp; strike) yang memverifikasi bukti runtime pada pemanggilan tool dan menganalisis risiko semantik metadata menggunakan LLM bounded.</t>
        </is>
      </c>
      <c r="M5" t="inlineStr">
        <is>
          <t>ya</t>
        </is>
      </c>
      <c r="N5" t="inlineStr">
        <is>
          <t>H</t>
        </is>
      </c>
      <c r="O5" t="inlineStr">
        <is>
          <t>R2;R4;R5</t>
        </is>
      </c>
      <c r="P5" t="inlineStr">
        <is>
          <t>A1;A2;C3;C5</t>
        </is>
      </c>
      <c r="Q5" t="inlineStr">
        <is>
          <t>A1;A2;C3;C5</t>
        </is>
      </c>
      <c r="R5" t="inlineStr">
        <is>
          <t>author_run</t>
        </is>
      </c>
      <c r="S5" t="inlineStr"/>
      <c r="T5" t="inlineStr">
        <is>
          <t>authors_own</t>
        </is>
      </c>
      <c r="U5" t="inlineStr">
        <is>
          <t>tidak</t>
        </is>
      </c>
      <c r="V5" t="inlineStr"/>
      <c r="W5" t="inlineStr">
        <is>
          <t>Sec V; Table II; Table IV; hal. 7-10</t>
        </is>
      </c>
      <c r="X5" t="inlineStr">
        <is>
          <t>none</t>
        </is>
      </c>
      <c r="Y5" t="inlineStr">
        <is>
          <t>latensi dilaporkan (reduksi 2.23x, Tabel IV)</t>
        </is>
      </c>
      <c r="Z5" t="inlineStr">
        <is>
          <t>Pemindai keamanan MCP dua fase (reconnaissance &amp; targeted strike) dengan adjudikasi bukti berbasis Qwen3-235B. Diuji pada 1.880 kasus benchmark buatan penulis dan 8.000 server MCPZoo; ancaman adaptif eksplisit di luar cakupan. Catatan deployment: prototipe internal/eksperimental (belum dirilis secara publik).</t>
        </is>
      </c>
      <c r="AA5" t="inlineStr">
        <is>
          <t>L1</t>
        </is>
      </c>
      <c r="AB5" t="inlineStr"/>
      <c r="AC5" t="inlineStr">
        <is>
          <t>include</t>
        </is>
      </c>
      <c r="AD5" t="inlineStr"/>
      <c r="AE5" t="inlineStr"/>
      <c r="AF5" t="inlineStr">
        <is>
          <t>Baseline (148-corpus)</t>
        </is>
      </c>
      <c r="AG5" t="inlineStr">
        <is>
          <t>L1</t>
        </is>
      </c>
      <c r="AH5" t="inlineStr">
        <is>
          <t>No</t>
        </is>
      </c>
    </row>
    <row r="6">
      <c r="A6" t="inlineStr">
        <is>
          <t>chenning-2026-adr-agentic-detection-system-enterprise</t>
        </is>
      </c>
      <c r="B6" t="inlineStr">
        <is>
          <t>ADR: An Agentic Detection System for Enterprise Agentic AI Security</t>
        </is>
      </c>
      <c r="C6" t="n">
        <v>2026</v>
      </c>
      <c r="D6" t="inlineStr">
        <is>
          <t>E2</t>
        </is>
      </c>
      <c r="E6" t="inlineStr">
        <is>
          <t>kandidat_agent</t>
        </is>
      </c>
      <c r="F6" t="inlineStr">
        <is>
          <t>primary</t>
        </is>
      </c>
      <c r="G6" t="inlineStr">
        <is>
          <t>https://arxiv.org/abs/2605.17380</t>
        </is>
      </c>
      <c r="H6" t="inlineStr">
        <is>
          <t>ya</t>
        </is>
      </c>
      <c r="I6" t="inlineStr">
        <is>
          <t>defense_primary</t>
        </is>
      </c>
      <c r="J6" t="inlineStr">
        <is>
          <t>ADR</t>
        </is>
      </c>
      <c r="K6" t="inlineStr">
        <is>
          <t>content_inspection_runtime</t>
        </is>
      </c>
      <c r="L6" t="inlineStr">
        <is>
          <t>Sistem deteksi ancaman agen enterprise dua tingkat (triage cepat berbasis heuristik/klasifikator dan penalaran mendalam berbasis LLM) yang menginspeksi telemetri runtime, jejak penalaran, dan pemanggilan tool MCP.</t>
        </is>
      </c>
      <c r="M6" t="inlineStr">
        <is>
          <t>ya</t>
        </is>
      </c>
      <c r="N6" t="inlineStr">
        <is>
          <t>H</t>
        </is>
      </c>
      <c r="O6" t="inlineStr">
        <is>
          <t>R2;R3;R5;R6;R7</t>
        </is>
      </c>
      <c r="P6" t="inlineStr">
        <is>
          <t>A1;A2;A3;B1;B2;C1;C2;C5;D1;D2;D3;OUT_OF_TAXONOMY:resource_abuse</t>
        </is>
      </c>
      <c r="Q6" t="inlineStr">
        <is>
          <t>A1;A2;C1;C5;D1;D2;D3;OUT_OF_TAXONOMY:resource_abuse</t>
        </is>
      </c>
      <c r="R6" t="inlineStr">
        <is>
          <t>author_run</t>
        </is>
      </c>
      <c r="S6" t="inlineStr"/>
      <c r="T6" t="inlineStr">
        <is>
          <t>mixed</t>
        </is>
      </c>
      <c r="U6" t="inlineStr">
        <is>
          <t>tidak</t>
        </is>
      </c>
      <c r="V6" t="inlineStr"/>
      <c r="W6" t="inlineStr">
        <is>
          <t>Sec. 4-5, Tabel 2, Gbr 6a, hal. 8-10</t>
        </is>
      </c>
      <c r="X6" t="inlineStr">
        <is>
          <t>none</t>
        </is>
      </c>
      <c r="Y6" t="inlineStr">
        <is>
          <t>biaya ($0.024/task) &amp; latensi (18.5s) dilaporkan (Sec 5.2, Fig 6b)</t>
        </is>
      </c>
      <c r="Z6" t="inlineStr">
        <is>
          <t>ADR dievaluasi pada ADR-Bench (17 teknik, 5 taktik) &amp; AgentDojo mencakup 8 kelas (termasuk C5 Code Interpreter &amp; Operational Impact: Resource Exhaustion/DoS dipetakan ke OUT_OF_TAXONOMY:resource_abuse). Kode repositori publik modelcon. Catatan deployment: prototipe internal/eksperimental (belum dirilis secara publik).</t>
        </is>
      </c>
      <c r="AA6" t="inlineStr">
        <is>
          <t>L1</t>
        </is>
      </c>
      <c r="AB6" t="inlineStr"/>
      <c r="AC6" t="inlineStr">
        <is>
          <t>include</t>
        </is>
      </c>
      <c r="AD6" t="inlineStr"/>
      <c r="AE6" t="inlineStr"/>
      <c r="AF6" t="inlineStr">
        <is>
          <t>Baseline (148-corpus)</t>
        </is>
      </c>
      <c r="AG6" t="inlineStr">
        <is>
          <t>L1</t>
        </is>
      </c>
      <c r="AH6" t="inlineStr">
        <is>
          <t>No</t>
        </is>
      </c>
    </row>
    <row r="7">
      <c r="A7" t="inlineStr">
        <is>
          <t>christoph-2025-agentbound-securing-execution-boundaries-ai</t>
        </is>
      </c>
      <c r="B7" t="inlineStr">
        <is>
          <t>AgentBound: Securing Execution Boundaries of AI Agents</t>
        </is>
      </c>
      <c r="C7" t="n">
        <v>2025</v>
      </c>
      <c r="D7" t="inlineStr">
        <is>
          <t>E1</t>
        </is>
      </c>
      <c r="E7" t="inlineStr">
        <is>
          <t>kandidat_agent</t>
        </is>
      </c>
      <c r="F7" t="inlineStr">
        <is>
          <t>primary</t>
        </is>
      </c>
      <c r="G7" t="inlineStr">
        <is>
          <t>https://arxiv.org/abs/2510.21236</t>
        </is>
      </c>
      <c r="H7" t="inlineStr">
        <is>
          <t>ya</t>
        </is>
      </c>
      <c r="I7" t="inlineStr">
        <is>
          <t>defense_primary</t>
        </is>
      </c>
      <c r="J7" t="inlineStr">
        <is>
          <t>AgentBound</t>
        </is>
      </c>
      <c r="K7" t="inlineStr">
        <is>
          <t>isolation_containment</t>
        </is>
      </c>
      <c r="L7" t="inlineStr">
        <is>
          <t>Kerangka pengamanan eksekusi server MCP berbasis deklarasi kapabilitas (AgentManifest) dan sandbox kontainer (AgentBox) yang mengisolasi akses berkas, jaringan, dan lingkungan secara deterministik.</t>
        </is>
      </c>
      <c r="M7" t="inlineStr">
        <is>
          <t>tidak</t>
        </is>
      </c>
      <c r="N7" t="inlineStr">
        <is>
          <t>H</t>
        </is>
      </c>
      <c r="O7" t="inlineStr">
        <is>
          <t>R5;R6</t>
        </is>
      </c>
      <c r="P7" t="inlineStr">
        <is>
          <t>B1;C5;D1</t>
        </is>
      </c>
      <c r="Q7" t="inlineStr">
        <is>
          <t>C5;D1</t>
        </is>
      </c>
      <c r="R7" t="inlineStr">
        <is>
          <t>author_run</t>
        </is>
      </c>
      <c r="S7" t="inlineStr"/>
      <c r="T7" t="inlineStr">
        <is>
          <t>mixed</t>
        </is>
      </c>
      <c r="U7" t="inlineStr">
        <is>
          <t>tidak</t>
        </is>
      </c>
      <c r="V7" t="inlineStr"/>
      <c r="W7" t="inlineStr">
        <is>
          <t>Sec 4; Sec 4.2; Sec 4.3; Table 2; hal. 11-16</t>
        </is>
      </c>
      <c r="X7" t="inlineStr">
        <is>
          <t>none</t>
        </is>
      </c>
      <c r="Y7" t="inlineStr">
        <is>
          <t>latensi dan overhead kontainer dilaporkan (Sec 4.3)</t>
        </is>
      </c>
      <c r="Z7" t="inlineStr">
        <is>
          <t>Eksekusi server di dalam kontainer AgentBox (Docker) menegakkan batas isolasi proses dan pembatasan kapabilitas manifest; mengevaluasi rug pull (B1), scope server (C5), dan eksfiltrasi data (D1). C1 dicabut karena isolasi proses bukan mediasi otorisasi sesi planner. Catatan deployment: prototipe internal/eksperimental (belum dirilis secara publik).</t>
        </is>
      </c>
      <c r="AA7" t="inlineStr">
        <is>
          <t>L1</t>
        </is>
      </c>
      <c r="AB7" t="inlineStr"/>
      <c r="AC7" t="inlineStr">
        <is>
          <t>include</t>
        </is>
      </c>
      <c r="AD7" t="inlineStr"/>
      <c r="AE7" t="inlineStr"/>
      <c r="AF7" t="inlineStr">
        <is>
          <t>Baseline (148-corpus)</t>
        </is>
      </c>
      <c r="AG7" t="inlineStr">
        <is>
          <t>L1</t>
        </is>
      </c>
      <c r="AH7" t="inlineStr">
        <is>
          <t>No</t>
        </is>
      </c>
    </row>
    <row r="8">
      <c r="A8" t="inlineStr">
        <is>
          <t>dongxu-2026-device-context-protocol-compact-safety</t>
        </is>
      </c>
      <c r="B8" t="inlineStr">
        <is>
          <t>Device Context Protocol: A Compact, Safety-First Architecture for LLM-Driven Control of Constrained Devices</t>
        </is>
      </c>
      <c r="C8" t="n">
        <v>2026</v>
      </c>
      <c r="D8" t="inlineStr">
        <is>
          <t>E2</t>
        </is>
      </c>
      <c r="E8" t="inlineStr">
        <is>
          <t>kandidat_agent</t>
        </is>
      </c>
      <c r="F8" t="inlineStr">
        <is>
          <t>primary</t>
        </is>
      </c>
      <c r="G8" t="inlineStr">
        <is>
          <t>https://arxiv.org/abs/2605.26159</t>
        </is>
      </c>
      <c r="H8" t="inlineStr">
        <is>
          <t>ya</t>
        </is>
      </c>
      <c r="I8" t="inlineStr">
        <is>
          <t>defense_primary</t>
        </is>
      </c>
      <c r="J8" t="inlineStr">
        <is>
          <t>Device Context Protocol</t>
        </is>
      </c>
      <c r="K8" t="inlineStr">
        <is>
          <t>protocol_provision</t>
        </is>
      </c>
      <c r="L8" t="inlineStr">
        <is>
          <t>Protokol biner kompak (DCP) dengan host-side Bridge yang memvalidasi skema kapabilitas wajib per-intent, batasan rentang, serta dry-run sebelum instruksi LLM mencapai perangkat fisik.</t>
        </is>
      </c>
      <c r="M8" t="inlineStr">
        <is>
          <t>tidak</t>
        </is>
      </c>
      <c r="N8" t="inlineStr">
        <is>
          <t>gateway_proxy</t>
        </is>
      </c>
      <c r="O8" t="inlineStr">
        <is>
          <t>R2;R5</t>
        </is>
      </c>
      <c r="P8" t="inlineStr">
        <is>
          <t>A2;C5</t>
        </is>
      </c>
      <c r="Q8" t="inlineStr">
        <is>
          <t>A2;C5</t>
        </is>
      </c>
      <c r="R8" t="inlineStr">
        <is>
          <t>author_run</t>
        </is>
      </c>
      <c r="S8" t="inlineStr"/>
      <c r="T8" t="inlineStr">
        <is>
          <t>mixed</t>
        </is>
      </c>
      <c r="U8" t="inlineStr">
        <is>
          <t>tidak</t>
        </is>
      </c>
      <c r="V8" t="inlineStr"/>
      <c r="W8" t="inlineStr">
        <is>
          <t>Sec 4; Sec 5; Fig 3; hal. 8-10</t>
        </is>
      </c>
      <c r="X8" t="inlineStr">
        <is>
          <t>none</t>
        </is>
      </c>
      <c r="Y8" t="inlineStr">
        <is>
          <t>footprint firmware (27.6 KB flash, 0.6 KB RAM) &amp; latensi dilaporkan</t>
        </is>
      </c>
      <c r="Z8" t="inlineStr">
        <is>
          <t>Protokol keamanan berorientasi perangkat terbatas (DCP) dengan host Bridge penegak kapabilitas deterministik. Diuji pada 675 panggilan dari 5 LLM komersial terhadap 6 kategori serangan termasuk injeksi AgentDojo. Catatan deployment: prototipe internal/eksperimental (belum dirilis secara publik).</t>
        </is>
      </c>
      <c r="AA8" t="inlineStr">
        <is>
          <t>L1</t>
        </is>
      </c>
      <c r="AB8" t="inlineStr"/>
      <c r="AC8" t="inlineStr">
        <is>
          <t>include</t>
        </is>
      </c>
      <c r="AD8" t="inlineStr"/>
      <c r="AE8" t="inlineStr"/>
      <c r="AF8" t="inlineStr">
        <is>
          <t>Baseline (148-corpus)</t>
        </is>
      </c>
      <c r="AG8" t="inlineStr">
        <is>
          <t>L1</t>
        </is>
      </c>
      <c r="AH8" t="inlineStr">
        <is>
          <t>No</t>
        </is>
      </c>
    </row>
    <row r="9">
      <c r="A9" t="inlineStr">
        <is>
          <t>fatemeh-2026-federated-mcp-gateway-enforceable-isolation</t>
        </is>
      </c>
      <c r="B9" t="inlineStr">
        <is>
          <t>A Federated MCP Gateway: Enforceable Isolation and Measuring Residual Semantic Attacks</t>
        </is>
      </c>
      <c r="C9" t="n">
        <v>2026</v>
      </c>
      <c r="D9" t="inlineStr">
        <is>
          <t>E1</t>
        </is>
      </c>
      <c r="E9" t="inlineStr">
        <is>
          <t>kandidat_agent</t>
        </is>
      </c>
      <c r="F9" t="inlineStr">
        <is>
          <t>primary</t>
        </is>
      </c>
      <c r="G9" t="inlineStr">
        <is>
          <t>https://doi.org/10.1109/noms69089.2026.11668221</t>
        </is>
      </c>
      <c r="H9" t="inlineStr">
        <is>
          <t>ya</t>
        </is>
      </c>
      <c r="I9" t="inlineStr">
        <is>
          <t>defense_primary</t>
        </is>
      </c>
      <c r="J9" t="inlineStr">
        <is>
          <t>Federated MCP Gateway</t>
        </is>
      </c>
      <c r="K9" t="inlineStr">
        <is>
          <t>isolation_containment</t>
        </is>
      </c>
      <c r="L9" t="inlineStr">
        <is>
          <t>Gateway federasi MCP terpusat dengan kontrol isolasi tenant berbasis JWT, verifikasi skema, dan filter regex/firewall output terhadap serangan semantik residu.</t>
        </is>
      </c>
      <c r="M9" t="inlineStr">
        <is>
          <t>tidak</t>
        </is>
      </c>
      <c r="N9" t="inlineStr">
        <is>
          <t>gateway_proxy</t>
        </is>
      </c>
      <c r="O9" t="inlineStr">
        <is>
          <t>R1;R2;R3;R5</t>
        </is>
      </c>
      <c r="P9" t="inlineStr">
        <is>
          <t>A2;D1;D2;OUT_OF_TAXONOMY:resource_abuse</t>
        </is>
      </c>
      <c r="Q9" t="inlineStr">
        <is>
          <t>A2;D1;D2;OUT_OF_TAXONOMY:resource_abuse</t>
        </is>
      </c>
      <c r="R9" t="inlineStr">
        <is>
          <t>author_run</t>
        </is>
      </c>
      <c r="S9" t="inlineStr"/>
      <c r="T9" t="inlineStr">
        <is>
          <t>authors_own</t>
        </is>
      </c>
      <c r="U9" t="inlineStr">
        <is>
          <t>tidak</t>
        </is>
      </c>
      <c r="V9" t="inlineStr"/>
      <c r="W9" t="inlineStr">
        <is>
          <t>Sec. IV, Tabel III, hal. 4-6</t>
        </is>
      </c>
      <c r="X9" t="inlineStr">
        <is>
          <t>none</t>
        </is>
      </c>
      <c r="Y9" t="inlineStr">
        <is>
          <t>dilaporkan: tingkat blokir dan mismatch per modul penegakan (Tabel III)</t>
        </is>
      </c>
      <c r="Z9" t="inlineStr">
        <is>
          <t>Federated MCP Gateway (defense_primary, L1). Isolasi tenant/identitas (D1;D2), pemfilteran regex (A2), dan kontrol amplifikasi sumber daya 100 req/menit (OUT_OF_TAXONOMY:resource_abuse). Suite 93 kasus sintetik; adaptif=tidak.</t>
        </is>
      </c>
      <c r="AA9" t="inlineStr">
        <is>
          <t>L1</t>
        </is>
      </c>
      <c r="AB9" t="inlineStr"/>
      <c r="AC9" t="inlineStr">
        <is>
          <t>include</t>
        </is>
      </c>
      <c r="AD9" t="inlineStr"/>
      <c r="AE9" t="inlineStr"/>
      <c r="AF9" t="inlineStr">
        <is>
          <t>Baseline (148-corpus)</t>
        </is>
      </c>
      <c r="AG9" t="inlineStr">
        <is>
          <t>L1</t>
        </is>
      </c>
      <c r="AH9" t="inlineStr">
        <is>
          <t>No</t>
        </is>
      </c>
    </row>
    <row r="10">
      <c r="A10" t="inlineStr">
        <is>
          <t>gamini-2026-mcp-secure-runtime-access-control</t>
        </is>
      </c>
      <c r="B10" t="inlineStr">
        <is>
          <t>MCP-Secure: A Runtime Access Control Layer for Privilege-Aware LLM Agent Tooling</t>
        </is>
      </c>
      <c r="C10" t="n">
        <v>2026</v>
      </c>
      <c r="D10" t="inlineStr">
        <is>
          <t>E1</t>
        </is>
      </c>
      <c r="E10" t="inlineStr">
        <is>
          <t>kandidat_agent</t>
        </is>
      </c>
      <c r="F10" t="inlineStr">
        <is>
          <t>primary</t>
        </is>
      </c>
      <c r="G10" t="inlineStr">
        <is>
          <t>https://doi.org/10.1109/ojcs.2026.3664314</t>
        </is>
      </c>
      <c r="H10" t="inlineStr">
        <is>
          <t>ya</t>
        </is>
      </c>
      <c r="I10" t="inlineStr">
        <is>
          <t>defense_primary</t>
        </is>
      </c>
      <c r="J10" t="inlineStr">
        <is>
          <t>MCP-Secure</t>
        </is>
      </c>
      <c r="K10" t="inlineStr">
        <is>
          <t>deterministic_policy</t>
        </is>
      </c>
      <c r="L10" t="inlineStr">
        <is>
          <t>Lapisan kontrol akses runtime host-side berbasis state machine level-sesi dengan izin default read-only dan approval gating untuk eskalasi hak istimewa pemanggilan tool.</t>
        </is>
      </c>
      <c r="M10" t="inlineStr">
        <is>
          <t>tidak</t>
        </is>
      </c>
      <c r="N10" t="inlineStr">
        <is>
          <t>H</t>
        </is>
      </c>
      <c r="O10" t="inlineStr">
        <is>
          <t>R3;R5</t>
        </is>
      </c>
      <c r="P10" t="inlineStr">
        <is>
          <t>C1;C5</t>
        </is>
      </c>
      <c r="Q10" t="inlineStr">
        <is>
          <t>C1;C5</t>
        </is>
      </c>
      <c r="R10" t="inlineStr">
        <is>
          <t>author_run</t>
        </is>
      </c>
      <c r="S10" t="inlineStr"/>
      <c r="T10" t="inlineStr">
        <is>
          <t>authors_own</t>
        </is>
      </c>
      <c r="U10" t="inlineStr">
        <is>
          <t>tidak</t>
        </is>
      </c>
      <c r="V10" t="inlineStr"/>
      <c r="W10" t="inlineStr">
        <is>
          <t>Sec. IV-V; hal. 508-512</t>
        </is>
      </c>
      <c r="X10" t="inlineStr">
        <is>
          <t>none</t>
        </is>
      </c>
      <c r="Y10" t="inlineStr">
        <is>
          <t>dilaporkan: overhead runtime minimal mempertahankan utilitas (Sec. V)</t>
        </is>
      </c>
      <c r="Z10" t="inlineStr">
        <is>
          <t>Teks lengkap IEEE OJCS (Vol. 7, pp. 504-513). Evaluasi author_run pada 1.080 eksekusi simulasi adversarial: mengurangi blast radius tool berbahaya/halusinasi dan mengendalikan eskalasi wewenang. Catatan deployment: prototipe internal/eksperimental (belum dirilis secara publik).</t>
        </is>
      </c>
      <c r="AA10" t="inlineStr">
        <is>
          <t>L1</t>
        </is>
      </c>
      <c r="AB10" t="inlineStr"/>
      <c r="AC10" t="inlineStr">
        <is>
          <t>include</t>
        </is>
      </c>
      <c r="AD10" t="inlineStr"/>
      <c r="AE10" t="inlineStr"/>
      <c r="AF10" t="inlineStr">
        <is>
          <t>Baseline (148-corpus)</t>
        </is>
      </c>
      <c r="AG10" t="inlineStr">
        <is>
          <t>L1</t>
        </is>
      </c>
      <c r="AH10" t="inlineStr">
        <is>
          <t>No</t>
        </is>
      </c>
    </row>
    <row r="11">
      <c r="A11" t="inlineStr">
        <is>
          <t>giovanni-2026-mandato-protocol-level-enforcement-digitally</t>
        </is>
      </c>
      <c r="B11" t="inlineStr">
        <is>
          <t>Mandato: Protocol-Level Enforcement of Digitally Signed Mandates on AI Agent Actions with Cryptographically Chained Audit Trails</t>
        </is>
      </c>
      <c r="C11" t="n">
        <v>2026</v>
      </c>
      <c r="D11" t="inlineStr">
        <is>
          <t>E2</t>
        </is>
      </c>
      <c r="E11" t="inlineStr">
        <is>
          <t>kandidat_agent</t>
        </is>
      </c>
      <c r="F11" t="inlineStr">
        <is>
          <t>primary</t>
        </is>
      </c>
      <c r="G11" t="inlineStr">
        <is>
          <t>https://arxiv.org/abs/2608.14074</t>
        </is>
      </c>
      <c r="H11" t="inlineStr">
        <is>
          <t>ya</t>
        </is>
      </c>
      <c r="I11" t="inlineStr">
        <is>
          <t>proposal_only</t>
        </is>
      </c>
      <c r="J11" t="inlineStr">
        <is>
          <t>MANDATO</t>
        </is>
      </c>
      <c r="K11" t="inlineStr">
        <is>
          <t>capability_or_token</t>
        </is>
      </c>
      <c r="L11" t="inlineStr">
        <is>
          <t>Proxy tata kelola MCP yang memvalidasi mandat bertanda tangan digital pada aksi agen dan mencatat jejak audit terantai kriptografis secara tamper-evident.</t>
        </is>
      </c>
      <c r="M11" t="inlineStr">
        <is>
          <t>tidak</t>
        </is>
      </c>
      <c r="N11" t="inlineStr">
        <is>
          <t>gateway_proxy</t>
        </is>
      </c>
      <c r="O11" t="inlineStr">
        <is>
          <t>R3;R5</t>
        </is>
      </c>
      <c r="P11" t="inlineStr">
        <is>
          <t>C1;C2;C3</t>
        </is>
      </c>
      <c r="Q11" t="inlineStr"/>
      <c r="R11" t="inlineStr">
        <is>
          <t>none</t>
        </is>
      </c>
      <c r="S11" t="inlineStr"/>
      <c r="T11" t="inlineStr">
        <is>
          <t>none</t>
        </is>
      </c>
      <c r="U11" t="inlineStr">
        <is>
          <t>n/a_tanpa_evaluasi</t>
        </is>
      </c>
      <c r="V11" t="inlineStr"/>
      <c r="W11" t="inlineStr"/>
      <c r="X11" t="inlineStr">
        <is>
          <t>none</t>
        </is>
      </c>
      <c r="Y11" t="inlineStr">
        <is>
          <t>not_reported</t>
        </is>
      </c>
      <c r="Z11" t="inlineStr">
        <is>
          <t>Proxy tata kelola MCP untuk mandat bertanda tangan digital. Penulis menyatakan status epistemik sistem masih dalam pengembangan (system under construction) tanpa hasil empiris. KODER 1 menandai defense_primary dengan jenis_evaluasi: none (L0).</t>
        </is>
      </c>
      <c r="AA11" t="inlineStr">
        <is>
          <t>L0</t>
        </is>
      </c>
      <c r="AB11" t="inlineStr"/>
      <c r="AC11" t="inlineStr">
        <is>
          <t>include</t>
        </is>
      </c>
      <c r="AD11" t="inlineStr"/>
      <c r="AE11" t="inlineStr"/>
      <c r="AF11" t="inlineStr">
        <is>
          <t>Baseline (148-corpus)</t>
        </is>
      </c>
      <c r="AG11" t="inlineStr">
        <is>
          <t>L0</t>
        </is>
      </c>
      <c r="AH11" t="inlineStr">
        <is>
          <t>N/A</t>
        </is>
      </c>
    </row>
    <row r="12">
      <c r="A12" t="inlineStr">
        <is>
          <t>guanlin-2025-zero-knowledge-audit-internet-agents</t>
        </is>
      </c>
      <c r="B12" t="inlineStr">
        <is>
          <t>Zero-Knowledge Audit for Internet of Agents: Privacy-Preserving Communication Verification with Model Context Protocol</t>
        </is>
      </c>
      <c r="C12" t="n">
        <v>2025</v>
      </c>
      <c r="D12" t="inlineStr">
        <is>
          <t>E2</t>
        </is>
      </c>
      <c r="E12" t="inlineStr">
        <is>
          <t>kandidat_agent</t>
        </is>
      </c>
      <c r="F12" t="inlineStr">
        <is>
          <t>primary</t>
        </is>
      </c>
      <c r="G12" t="inlineStr">
        <is>
          <t>https://arxiv.org/abs/2512.14737</t>
        </is>
      </c>
      <c r="H12" t="inlineStr">
        <is>
          <t>ya</t>
        </is>
      </c>
      <c r="I12" t="inlineStr">
        <is>
          <t>defense_primary</t>
        </is>
      </c>
      <c r="J12" t="inlineStr">
        <is>
          <t>zk-MCP</t>
        </is>
      </c>
      <c r="K12" t="inlineStr">
        <is>
          <t>integrity_provenance</t>
        </is>
      </c>
      <c r="L12" t="inlineStr">
        <is>
          <t>Protokol audit privasi berbasis Zero-Knowledge Proof pada saluran MCP yang memverifikasi kepatuhan format dan keabsahan pesan tanpa mengungkap isi komunikasi.</t>
        </is>
      </c>
      <c r="M12" t="inlineStr">
        <is>
          <t>tidak</t>
        </is>
      </c>
      <c r="N12" t="inlineStr">
        <is>
          <t>gateway_proxy</t>
        </is>
      </c>
      <c r="O12" t="inlineStr">
        <is>
          <t>R4;R6</t>
        </is>
      </c>
      <c r="P12" t="inlineStr">
        <is>
          <t>C3;D1</t>
        </is>
      </c>
      <c r="Q12" t="inlineStr">
        <is>
          <t>C3;D1</t>
        </is>
      </c>
      <c r="R12" t="inlineStr">
        <is>
          <t>author_run</t>
        </is>
      </c>
      <c r="S12" t="inlineStr"/>
      <c r="T12" t="inlineStr">
        <is>
          <t>authors_own</t>
        </is>
      </c>
      <c r="U12" t="inlineStr">
        <is>
          <t>tidak</t>
        </is>
      </c>
      <c r="V12" t="inlineStr"/>
      <c r="W12" t="inlineStr">
        <is>
          <t>Sec V; Table III; Table IV; hal. 8-11</t>
        </is>
      </c>
      <c r="X12" t="inlineStr">
        <is>
          <t>none</t>
        </is>
      </c>
      <c r="Y12" t="inlineStr">
        <is>
          <t>latensi bukti ZK (&lt; 50ms) dan overhead transmisi dilaporkan (Sec V)</t>
        </is>
      </c>
      <c r="Z12" t="inlineStr">
        <is>
          <t>Protokol audit privasi berbasis Zero-Knowledge Proof (zk-MCP) terintegrasi pada kanal MCP. Penegakan kriptografis deterministik (Circom ZK circuit). Dievaluasi pada testbed komunikasi multi-agen IoA. Catatan deployment: prototipe internal/eksperimental (belum dirilis secara publik).</t>
        </is>
      </c>
      <c r="AA12" t="inlineStr">
        <is>
          <t>L1</t>
        </is>
      </c>
      <c r="AB12" t="inlineStr"/>
      <c r="AC12" t="inlineStr">
        <is>
          <t>include</t>
        </is>
      </c>
      <c r="AD12" t="inlineStr"/>
      <c r="AE12" t="inlineStr"/>
      <c r="AF12" t="inlineStr">
        <is>
          <t>Baseline (148-corpus)</t>
        </is>
      </c>
      <c r="AG12" t="inlineStr">
        <is>
          <t>L1</t>
        </is>
      </c>
      <c r="AH12" t="inlineStr">
        <is>
          <t>No</t>
        </is>
      </c>
    </row>
    <row r="13">
      <c r="A13" t="inlineStr">
        <is>
          <t>huan-2026-zero-trust-authorization-discovery-enterprise</t>
        </is>
      </c>
      <c r="B13" t="inlineStr">
        <is>
          <t>Zero-Trust Authorization and Discovery for Enterprise MCP</t>
        </is>
      </c>
      <c r="C13" t="n">
        <v>2026</v>
      </c>
      <c r="D13" t="inlineStr">
        <is>
          <t>E2</t>
        </is>
      </c>
      <c r="E13" t="inlineStr">
        <is>
          <t>kandidat_agent</t>
        </is>
      </c>
      <c r="F13" t="inlineStr">
        <is>
          <t>primary</t>
        </is>
      </c>
      <c r="G13" t="inlineStr">
        <is>
          <t>https://arxiv.org/abs/2609.22573</t>
        </is>
      </c>
      <c r="H13" t="inlineStr">
        <is>
          <t>ya</t>
        </is>
      </c>
      <c r="I13" t="inlineStr">
        <is>
          <t>defense_primary</t>
        </is>
      </c>
      <c r="J13" t="inlineStr">
        <is>
          <t>FastMCP Zero-Trust Extensions</t>
        </is>
      </c>
      <c r="K13" t="inlineStr">
        <is>
          <t>deterministic_policy</t>
        </is>
      </c>
      <c r="L13" t="inlineStr">
        <is>
          <t>Ekstensi zero-trust middleware FastMCP yang menyediakan otorisasi per-tool AND/OR deklaratif, autentikasi dual-persona, serta cache introspeksi token untuk validasi kontinu.</t>
        </is>
      </c>
      <c r="M13" t="inlineStr">
        <is>
          <t>tidak</t>
        </is>
      </c>
      <c r="N13" t="inlineStr">
        <is>
          <t>gateway_proxy</t>
        </is>
      </c>
      <c r="O13" t="inlineStr">
        <is>
          <t>R3;R4;R5</t>
        </is>
      </c>
      <c r="P13" t="inlineStr">
        <is>
          <t>C1;C2;C3;C5</t>
        </is>
      </c>
      <c r="Q13" t="inlineStr">
        <is>
          <t>C1;C2;C3;C5</t>
        </is>
      </c>
      <c r="R13" t="inlineStr">
        <is>
          <t>author_run</t>
        </is>
      </c>
      <c r="S13" t="inlineStr"/>
      <c r="T13" t="inlineStr">
        <is>
          <t>authors_own</t>
        </is>
      </c>
      <c r="U13" t="inlineStr">
        <is>
          <t>tidak</t>
        </is>
      </c>
      <c r="V13" t="inlineStr"/>
      <c r="W13" t="inlineStr">
        <is>
          <t>Sec 4.1; Sec 4.2; Sec 4.3; Table 2; Table 3; Table 4; hal. 6-10</t>
        </is>
      </c>
      <c r="X13" t="inlineStr">
        <is>
          <t>none</t>
        </is>
      </c>
      <c r="Y13" t="inlineStr">
        <is>
          <t>latensi (p50: 9.9 ms vs 296 ms, Tabel 2) dan trace produksi 7 hari dilaporkan (Sec 4.2)</t>
        </is>
      </c>
      <c r="Z13" t="inlineStr">
        <is>
          <t>Ekstensi zero-trust untuk FastMCP oleh insinyur PayPal yang menambahkan otorisasi per-tool, dual-persona auth, dan cache introspeksi token. Diuji secara adversarial pada testbed alat Kubernetes dan dievaluasi pada jejak produksi PayPal 7 hari. Catatan deployment: prototipe internal/eksperimental (belum dirilis secara publik).</t>
        </is>
      </c>
      <c r="AA13" t="inlineStr">
        <is>
          <t>L1</t>
        </is>
      </c>
      <c r="AB13" t="inlineStr"/>
      <c r="AC13" t="inlineStr">
        <is>
          <t>include</t>
        </is>
      </c>
      <c r="AD13" t="inlineStr"/>
      <c r="AE13" t="inlineStr"/>
      <c r="AF13" t="inlineStr">
        <is>
          <t>Baseline (148-corpus)</t>
        </is>
      </c>
      <c r="AG13" t="inlineStr">
        <is>
          <t>L1</t>
        </is>
      </c>
      <c r="AH13" t="inlineStr">
        <is>
          <t>No</t>
        </is>
      </c>
    </row>
    <row r="14">
      <c r="A14" t="inlineStr">
        <is>
          <t>huihao-2025-mcip-protecting-mcp-safety-via</t>
        </is>
      </c>
      <c r="B14" t="inlineStr">
        <is>
          <t>MCIP: Protecting MCP Safety via Model Contextual Integrity Protocol</t>
        </is>
      </c>
      <c r="C14" t="n">
        <v>2025</v>
      </c>
      <c r="D14" t="inlineStr">
        <is>
          <t>E1</t>
        </is>
      </c>
      <c r="E14" t="inlineStr">
        <is>
          <t>kandidat_agent</t>
        </is>
      </c>
      <c r="F14" t="inlineStr">
        <is>
          <t>primary</t>
        </is>
      </c>
      <c r="G14" t="inlineStr">
        <is>
          <t>https://doi.org/10.18653/v1/2025.emnlp-main.62</t>
        </is>
      </c>
      <c r="H14" t="inlineStr">
        <is>
          <t>ya</t>
        </is>
      </c>
      <c r="I14" t="inlineStr">
        <is>
          <t>defense_primary</t>
        </is>
      </c>
      <c r="J14" t="inlineStr">
        <is>
          <t>MCIP</t>
        </is>
      </c>
      <c r="K14" t="inlineStr">
        <is>
          <t>content_inspection_runtime</t>
        </is>
      </c>
      <c r="L14" t="inlineStr">
        <is>
          <t>Protokol integritas kontekstual dengan model pelindung (MCIP Guardian) yang mengawasi alur konteks interaksi MCP dan mendeteksi aksi tidak aman pada pemanggilan tool.</t>
        </is>
      </c>
      <c r="M14" t="inlineStr">
        <is>
          <t>ya</t>
        </is>
      </c>
      <c r="N14" t="inlineStr">
        <is>
          <t>H</t>
        </is>
      </c>
      <c r="O14" t="inlineStr">
        <is>
          <t>R2;R5;R6</t>
        </is>
      </c>
      <c r="P14" t="inlineStr">
        <is>
          <t>A1;A2;C5;D1</t>
        </is>
      </c>
      <c r="Q14" t="inlineStr">
        <is>
          <t>A1;A2;C5;D1</t>
        </is>
      </c>
      <c r="R14" t="inlineStr">
        <is>
          <t>author_run+independent</t>
        </is>
      </c>
      <c r="S14" t="inlineStr">
        <is>
          <t>yixuan-2025-mcpsecbench-systematic-security-benchmark-playground</t>
        </is>
      </c>
      <c r="T14" t="inlineStr">
        <is>
          <t>mixed</t>
        </is>
      </c>
      <c r="U14" t="inlineStr">
        <is>
          <t>tidak</t>
        </is>
      </c>
      <c r="V14" t="inlineStr"/>
      <c r="W14" t="inlineStr">
        <is>
          <t>Sec 6; Sec 7; Table 2; Fig 5; hal. 6-9</t>
        </is>
      </c>
      <c r="X14" t="inlineStr">
        <is>
          <t>none</t>
        </is>
      </c>
      <c r="Y14" t="inlineStr">
        <is>
          <t>trade-off utilitas BFCL dan resistensi risiko dilaporkan (Tabel 2, Fig 5)</t>
        </is>
      </c>
      <c r="Z14" t="inlineStr">
        <is>
          <t>Kerangka pengamanan MCP berbasis protokol integritas kontekstual (MCIP) dan model pelindung (MCIP Guardian). Dievaluasi secara independen oleh MCPSecBench (yixuan-2025) pada 3 platform MCP (Tabel 1, 2, Fig 4, 6) sehingga mencapai maturitas L2. Catatan deployment: prototipe internal/eksperimental (belum dirilis secara publik).</t>
        </is>
      </c>
      <c r="AA14" t="inlineStr">
        <is>
          <t>L2</t>
        </is>
      </c>
      <c r="AB14" t="inlineStr"/>
      <c r="AC14" t="inlineStr">
        <is>
          <t>include</t>
        </is>
      </c>
      <c r="AD14" t="inlineStr"/>
      <c r="AE14" t="inlineStr"/>
      <c r="AF14" t="inlineStr">
        <is>
          <t>Baseline (148-corpus)</t>
        </is>
      </c>
      <c r="AG14" t="inlineStr">
        <is>
          <t>L2</t>
        </is>
      </c>
      <c r="AH14" t="inlineStr">
        <is>
          <t>No</t>
        </is>
      </c>
    </row>
    <row r="15">
      <c r="A15" t="inlineStr">
        <is>
          <t>ignacio-2026-crud-autonomous-agents-formal-validation</t>
        </is>
      </c>
      <c r="B15" t="inlineStr">
        <is>
          <t>From CRUD to Autonomous Agents: Formal Validation and Zero-Trust Security for Semantic Gateways in AI-Native Enterprise Systems</t>
        </is>
      </c>
      <c r="C15" t="n">
        <v>2026</v>
      </c>
      <c r="D15" t="inlineStr">
        <is>
          <t>E2</t>
        </is>
      </c>
      <c r="E15" t="inlineStr">
        <is>
          <t>kandidat_agent</t>
        </is>
      </c>
      <c r="F15" t="inlineStr">
        <is>
          <t>primary</t>
        </is>
      </c>
      <c r="G15" t="inlineStr">
        <is>
          <t>https://arxiv.org/abs/2604.25555</t>
        </is>
      </c>
      <c r="H15" t="inlineStr">
        <is>
          <t>ya</t>
        </is>
      </c>
      <c r="I15" t="inlineStr">
        <is>
          <t>defense_primary</t>
        </is>
      </c>
      <c r="J15" t="inlineStr">
        <is>
          <t>Semantic Gateway</t>
        </is>
      </c>
      <c r="K15" t="inlineStr">
        <is>
          <t>deterministic_policy</t>
        </is>
      </c>
      <c r="L15" t="inlineStr">
        <is>
          <t>Gateway semantik zero-trust dengan validasi formal transisi state (EPA) dan penegakan kebijakan OPA/Rego deterministik untuk mencegah pelanggaran otorisasi BOLA.</t>
        </is>
      </c>
      <c r="M15" t="inlineStr">
        <is>
          <t>tidak</t>
        </is>
      </c>
      <c r="N15" t="inlineStr">
        <is>
          <t>gateway_proxy</t>
        </is>
      </c>
      <c r="O15" t="inlineStr">
        <is>
          <t>R3;R5</t>
        </is>
      </c>
      <c r="P15" t="inlineStr">
        <is>
          <t>C1;C2;C5</t>
        </is>
      </c>
      <c r="Q15" t="inlineStr">
        <is>
          <t>C1;C2;C5</t>
        </is>
      </c>
      <c r="R15" t="inlineStr">
        <is>
          <t>author_run</t>
        </is>
      </c>
      <c r="S15" t="inlineStr"/>
      <c r="T15" t="inlineStr">
        <is>
          <t>authors_own</t>
        </is>
      </c>
      <c r="U15" t="inlineStr">
        <is>
          <t>tidak</t>
        </is>
      </c>
      <c r="V15" t="inlineStr"/>
      <c r="W15" t="inlineStr">
        <is>
          <t>Sec 8; Sec 8.3; Sec 8.4; Table 2; Table 3; hal. 14-16</t>
        </is>
      </c>
      <c r="X15" t="inlineStr">
        <is>
          <t>prototype_open_source</t>
        </is>
      </c>
      <c r="Y15" t="inlineStr">
        <is>
          <t>latensi gateway semantik vs traditional REST baseline dilaporkan (Tabel 3)</t>
        </is>
      </c>
      <c r="Z15" t="inlineStr">
        <is>
          <t>Gateway semantik zero-trust dengan penegakan kebijakan deterministik OPA/Rego dan validasi formal graf EPA. Dievaluasi dengan semantic fuzzer 500 iterasi dan 47 kasus uji, menolak pelanggaran BOLA dan transisi ilegal. Repositori/artefak: https://github.com/PeyranoDev/semantic-gateway-poc.</t>
        </is>
      </c>
      <c r="AA15" t="inlineStr">
        <is>
          <t>L1</t>
        </is>
      </c>
      <c r="AB15" t="inlineStr"/>
      <c r="AC15" t="inlineStr">
        <is>
          <t>include</t>
        </is>
      </c>
      <c r="AD15" t="inlineStr"/>
      <c r="AE15" t="inlineStr"/>
      <c r="AF15" t="inlineStr">
        <is>
          <t>Baseline (148-corpus)</t>
        </is>
      </c>
      <c r="AG15" t="inlineStr">
        <is>
          <t>L1</t>
        </is>
      </c>
      <c r="AH15" t="inlineStr">
        <is>
          <t>No</t>
        </is>
      </c>
    </row>
    <row r="16">
      <c r="A16" t="inlineStr">
        <is>
          <t>ivo-2025-simplified-secure-mcp-gateways-enterprise</t>
        </is>
      </c>
      <c r="B16" t="inlineStr">
        <is>
          <t>Simplified and Secure MCP Gateways for Enterprise AI Integration</t>
        </is>
      </c>
      <c r="C16" t="n">
        <v>2025</v>
      </c>
      <c r="D16" t="inlineStr">
        <is>
          <t>E2</t>
        </is>
      </c>
      <c r="E16" t="inlineStr">
        <is>
          <t>kandidat_agent</t>
        </is>
      </c>
      <c r="F16" t="inlineStr">
        <is>
          <t>primary</t>
        </is>
      </c>
      <c r="G16" t="inlineStr">
        <is>
          <t>https://doi.org/10.48550/arxiv.2504.19997</t>
        </is>
      </c>
      <c r="H16" t="inlineStr">
        <is>
          <t>ya</t>
        </is>
      </c>
      <c r="I16" t="inlineStr">
        <is>
          <t>defense_primary</t>
        </is>
      </c>
      <c r="J16" t="inlineStr">
        <is>
          <t>MCP Gateway</t>
        </is>
      </c>
      <c r="K16" t="inlineStr">
        <is>
          <t>deterministic_policy</t>
        </is>
      </c>
      <c r="L16" t="inlineStr">
        <is>
          <t>Arsitektur gateway pengaman MCP enterprise self-hosted berbasis OAuth2-proxy, reverse proxy Traefik, CrowdSec IDS/WAF, dan tunnel WireGuard.</t>
        </is>
      </c>
      <c r="M16" t="inlineStr">
        <is>
          <t>tidak</t>
        </is>
      </c>
      <c r="N16" t="inlineStr">
        <is>
          <t>gateway_proxy</t>
        </is>
      </c>
      <c r="O16" t="inlineStr">
        <is>
          <t>R4;R5</t>
        </is>
      </c>
      <c r="P16" t="inlineStr">
        <is>
          <t>C3;C5</t>
        </is>
      </c>
      <c r="Q16" t="inlineStr">
        <is>
          <t>C3;C5</t>
        </is>
      </c>
      <c r="R16" t="inlineStr">
        <is>
          <t>author_run</t>
        </is>
      </c>
      <c r="S16" t="inlineStr"/>
      <c r="T16" t="inlineStr">
        <is>
          <t>authors_own</t>
        </is>
      </c>
      <c r="U16" t="inlineStr">
        <is>
          <t>tidak</t>
        </is>
      </c>
      <c r="V16" t="inlineStr"/>
      <c r="W16" t="inlineStr">
        <is>
          <t>Sec VIII; Table I; Table II; hal. 4-6</t>
        </is>
      </c>
      <c r="X16" t="inlineStr">
        <is>
          <t>none</t>
        </is>
      </c>
      <c r="Y16" t="inlineStr">
        <is>
          <t>not_reported</t>
        </is>
      </c>
      <c r="Z16" t="inlineStr">
        <is>
          <t>Arsitektur gateway pengaman MCP enterprise self-hosted berbasis OAuth2-proxy, Traefik, CrowdSec, dan tunnel WireGuard. Penegakan deterministik pada gateway proxy menolak permintaan tanpa autentikasi dan token tidak sah. Catatan deployment: prototipe internal/eksperimental (belum dirilis secara publik).</t>
        </is>
      </c>
      <c r="AA16" t="inlineStr">
        <is>
          <t>L1</t>
        </is>
      </c>
      <c r="AB16" t="inlineStr"/>
      <c r="AC16" t="inlineStr">
        <is>
          <t>include</t>
        </is>
      </c>
      <c r="AD16" t="inlineStr"/>
      <c r="AE16" t="inlineStr"/>
      <c r="AF16" t="inlineStr">
        <is>
          <t>Baseline (148-corpus)</t>
        </is>
      </c>
      <c r="AG16" t="inlineStr">
        <is>
          <t>L1</t>
        </is>
      </c>
      <c r="AH16" t="inlineStr">
        <is>
          <t>No</t>
        </is>
      </c>
    </row>
    <row r="17">
      <c r="A17" t="inlineStr">
        <is>
          <t>jalendar-2025-zero-trust-proof-gated-agent</t>
        </is>
      </c>
      <c r="B17" t="inlineStr">
        <is>
          <t>Zero-Trust Proof-Gated Agent Architecture (ZPAA): A Comprehensive Security Model for the Model Context Protocol (MCP)</t>
        </is>
      </c>
      <c r="C17" t="n">
        <v>2025</v>
      </c>
      <c r="D17" t="inlineStr">
        <is>
          <t>E2</t>
        </is>
      </c>
      <c r="E17" t="inlineStr">
        <is>
          <t>kandidat_agent</t>
        </is>
      </c>
      <c r="F17" t="inlineStr">
        <is>
          <t>primary</t>
        </is>
      </c>
      <c r="G17" t="inlineStr">
        <is>
          <t>https://doi.org/10.22541/au.175761889.90929465/v1</t>
        </is>
      </c>
      <c r="H17" t="inlineStr">
        <is>
          <t>tidak</t>
        </is>
      </c>
      <c r="I17" t="inlineStr">
        <is>
          <t>defense_primary</t>
        </is>
      </c>
      <c r="J17" t="inlineStr">
        <is>
          <t>Zero-Trust Proof-Gated Agent Architecture</t>
        </is>
      </c>
      <c r="K17" t="inlineStr">
        <is>
          <t>deterministic_policy</t>
        </is>
      </c>
      <c r="L17" t="inlineStr">
        <is>
          <t>Model arsitektur agen zero-trust berbasis bukti untuk memvalidasi interaksi dan izin pemanggilan Model Context Protocol.</t>
        </is>
      </c>
      <c r="M17" t="inlineStr">
        <is>
          <t>tidak</t>
        </is>
      </c>
      <c r="N17" t="inlineStr">
        <is>
          <t>gateway_proxy</t>
        </is>
      </c>
      <c r="O17" t="inlineStr">
        <is>
          <t>R3;R4</t>
        </is>
      </c>
      <c r="P17" t="inlineStr">
        <is>
          <t>C3;C1</t>
        </is>
      </c>
      <c r="Q17" t="inlineStr"/>
      <c r="R17" t="inlineStr"/>
      <c r="S17" t="inlineStr"/>
      <c r="T17" t="inlineStr"/>
      <c r="U17" t="inlineStr"/>
      <c r="V17" t="inlineStr"/>
      <c r="W17" t="inlineStr"/>
      <c r="X17" t="inlineStr"/>
      <c r="Y17" t="inlineStr"/>
      <c r="Z17" t="inlineStr">
        <is>
          <t>[NON-OA / ABSTRACT-ONLY] Artikel Authorea dengan akses terbatas. Arsitektur agen proof-gated zero-trust untuk memverifikasi bukti kriptografis sebelum eksekusi aksi (C3, C1).</t>
        </is>
      </c>
      <c r="AA17" t="inlineStr"/>
      <c r="AB17" t="inlineStr"/>
      <c r="AC17" t="inlineStr">
        <is>
          <t>include</t>
        </is>
      </c>
      <c r="AD17" t="inlineStr"/>
      <c r="AE17" t="inlineStr"/>
      <c r="AF17" t="inlineStr">
        <is>
          <t>Baseline (148-corpus)</t>
        </is>
      </c>
      <c r="AG17" t="inlineStr">
        <is>
          <t>L1</t>
        </is>
      </c>
      <c r="AH17" t="inlineStr">
        <is>
          <t>N/A</t>
        </is>
      </c>
    </row>
    <row r="18">
      <c r="A18" t="inlineStr">
        <is>
          <t>manish-2025-etdi-mitigating-tool-squatting-rug</t>
        </is>
      </c>
      <c r="B18" t="inlineStr">
        <is>
          <t>ETDI: Mitigating Tool Squatting and Rug Pull Attacks in Model Context Protocol (MCP) by using OAuth-Enhanced Tool Definitions and Policy-Based Access Control</t>
        </is>
      </c>
      <c r="C18" t="n">
        <v>2025</v>
      </c>
      <c r="D18" t="inlineStr">
        <is>
          <t>E1</t>
        </is>
      </c>
      <c r="E18" t="inlineStr">
        <is>
          <t>kandidat_agent</t>
        </is>
      </c>
      <c r="F18" t="inlineStr">
        <is>
          <t>primary</t>
        </is>
      </c>
      <c r="G18" t="inlineStr">
        <is>
          <t>https://arxiv.org/abs/2506.01333</t>
        </is>
      </c>
      <c r="H18" t="inlineStr">
        <is>
          <t>ya</t>
        </is>
      </c>
      <c r="I18" t="inlineStr">
        <is>
          <t>defense_primary</t>
        </is>
      </c>
      <c r="J18" t="inlineStr">
        <is>
          <t>ETDI</t>
        </is>
      </c>
      <c r="K18" t="inlineStr">
        <is>
          <t>cryptographic_integrity</t>
        </is>
      </c>
      <c r="L18" t="inlineStr">
        <is>
          <t>Spesifikasi antarmuka Enhanced Tool Definition Interface (ETDI) dengan verifikasi identitas kriptografis, versi definisi immutable, dan kebijakan Cedar/OPA untuk mitigasi tool squatting dan rug pull.</t>
        </is>
      </c>
      <c r="M18" t="inlineStr">
        <is>
          <t>tidak</t>
        </is>
      </c>
      <c r="N18" t="inlineStr">
        <is>
          <t>G</t>
        </is>
      </c>
      <c r="O18" t="inlineStr">
        <is>
          <t>R1;R6</t>
        </is>
      </c>
      <c r="P18" t="inlineStr">
        <is>
          <t>A1;B1</t>
        </is>
      </c>
      <c r="Q18" t="inlineStr"/>
      <c r="R18" t="inlineStr">
        <is>
          <t>none</t>
        </is>
      </c>
      <c r="S18" t="inlineStr"/>
      <c r="T18" t="inlineStr">
        <is>
          <t>none</t>
        </is>
      </c>
      <c r="U18" t="inlineStr">
        <is>
          <t>n/a_tanpa_evaluasi</t>
        </is>
      </c>
      <c r="V18" t="inlineStr"/>
      <c r="W18" t="inlineStr">
        <is>
          <t>Sec. 3-4, hal. 4-6</t>
        </is>
      </c>
      <c r="X18" t="inlineStr">
        <is>
          <t>none</t>
        </is>
      </c>
      <c r="Y18" t="inlineStr">
        <is>
          <t>not_reported</t>
        </is>
      </c>
      <c r="Z18" t="inlineStr">
        <is>
          <t>Spesifikasi Enhanced Tool Definition Interface (ETDI) dengan verifikasi identitas kriptografis, versi immutable, dan integrasi kebijakan Cedar/OPA untuk mitigasi tool squatting dan rug pull. Tanpa evaluasi empiris (L0).</t>
        </is>
      </c>
      <c r="AA18" t="inlineStr">
        <is>
          <t>L0</t>
        </is>
      </c>
      <c r="AB18" t="inlineStr"/>
      <c r="AC18" t="inlineStr">
        <is>
          <t>include</t>
        </is>
      </c>
      <c r="AD18" t="inlineStr"/>
      <c r="AE18" t="inlineStr"/>
      <c r="AF18" t="inlineStr">
        <is>
          <t>Baseline (148-corpus)</t>
        </is>
      </c>
      <c r="AG18" t="inlineStr">
        <is>
          <t>L0</t>
        </is>
      </c>
      <c r="AH18" t="inlineStr">
        <is>
          <t>N/A</t>
        </is>
      </c>
    </row>
    <row r="19">
      <c r="A19" t="inlineStr">
        <is>
          <t>mirza-2026-stochastic-deputy-structural-tenant-isolation</t>
        </is>
      </c>
      <c r="B19" t="inlineStr">
        <is>
          <t>The Stochastic Deputy: Structural Tenant Isolation for Tool-Using LLM Agents</t>
        </is>
      </c>
      <c r="C19" t="n">
        <v>2026</v>
      </c>
      <c r="D19" t="inlineStr">
        <is>
          <t>E2</t>
        </is>
      </c>
      <c r="E19" t="inlineStr">
        <is>
          <t>kandidat_agent</t>
        </is>
      </c>
      <c r="F19" t="inlineStr">
        <is>
          <t>primary</t>
        </is>
      </c>
      <c r="G19" t="inlineStr">
        <is>
          <t>https://arxiv.org/abs/2609.14780</t>
        </is>
      </c>
      <c r="H19" t="inlineStr">
        <is>
          <t>ya</t>
        </is>
      </c>
      <c r="I19" t="inlineStr">
        <is>
          <t>defense_primary</t>
        </is>
      </c>
      <c r="J19" t="inlineStr">
        <is>
          <t>Structural Tenant Isolation</t>
        </is>
      </c>
      <c r="K19" t="inlineStr">
        <is>
          <t>deterministic_policy</t>
        </is>
      </c>
      <c r="L19" t="inlineStr">
        <is>
          <t>Pertahanan struktural terhadap masalah stochastic deputy dengan menghapus parameter tenant dari skema tool MCP dan menegakkan isolasi tenant di bawah agen melalui credential binding dan query rewriting.</t>
        </is>
      </c>
      <c r="M19" t="inlineStr">
        <is>
          <t>tidak</t>
        </is>
      </c>
      <c r="N19" t="inlineStr">
        <is>
          <t>S</t>
        </is>
      </c>
      <c r="O19" t="inlineStr">
        <is>
          <t>R3;R5</t>
        </is>
      </c>
      <c r="P19" t="inlineStr">
        <is>
          <t>C1;C2;D1</t>
        </is>
      </c>
      <c r="Q19" t="inlineStr">
        <is>
          <t>C1;C2;D1</t>
        </is>
      </c>
      <c r="R19" t="inlineStr">
        <is>
          <t>author_run</t>
        </is>
      </c>
      <c r="S19" t="inlineStr"/>
      <c r="T19" t="inlineStr">
        <is>
          <t>authors_own</t>
        </is>
      </c>
      <c r="U19" t="inlineStr">
        <is>
          <t>tidak</t>
        </is>
      </c>
      <c r="V19" t="inlineStr"/>
      <c r="W19" t="inlineStr">
        <is>
          <t>Sec 8; Sec 8.1; Table 1; Table 2; hal. 8-15</t>
        </is>
      </c>
      <c r="X19" t="inlineStr">
        <is>
          <t>none</t>
        </is>
      </c>
      <c r="Y19" t="inlineStr">
        <is>
          <t>latensi dan rasio optimasi query MySQL dilaporkan (Sec 8, RQ2)</t>
        </is>
      </c>
      <c r="Z19" t="inlineStr">
        <is>
          <t>Pertahanan isolasi multi-tenant struktural (structural tenant isolation) terhadap masalah stochastic deputy dengan menghapus parameter tenant dari skema tool MCP dan mengikat lingkup pada kredensial terverifikasi. Dievaluasi pada 373 uji lintas 8 LLM dan basis data MySQL multi-GB. Catatan deployment: prototipe internal/eksperimental (belum dirilis secara publik).</t>
        </is>
      </c>
      <c r="AA19" t="inlineStr">
        <is>
          <t>L1</t>
        </is>
      </c>
      <c r="AB19" t="inlineStr"/>
      <c r="AC19" t="inlineStr">
        <is>
          <t>include</t>
        </is>
      </c>
      <c r="AD19" t="inlineStr"/>
      <c r="AE19" t="inlineStr"/>
      <c r="AF19" t="inlineStr">
        <is>
          <t>Baseline (148-corpus)</t>
        </is>
      </c>
      <c r="AG19" t="inlineStr">
        <is>
          <t>L1</t>
        </is>
      </c>
      <c r="AH19" t="inlineStr">
        <is>
          <t>No</t>
        </is>
      </c>
    </row>
    <row r="20">
      <c r="A20" t="inlineStr">
        <is>
          <t>nirajan-2026-formal-security-framework-mcp-based</t>
        </is>
      </c>
      <c r="B20" t="inlineStr">
        <is>
          <t>A Formal Security Framework for MCP-Based AI Agents: Threat Taxonomy, Verification Models, and Defense Mechanisms</t>
        </is>
      </c>
      <c r="C20" t="n">
        <v>2026</v>
      </c>
      <c r="D20" t="inlineStr">
        <is>
          <t>E2</t>
        </is>
      </c>
      <c r="E20" t="inlineStr">
        <is>
          <t>kandidat_agent</t>
        </is>
      </c>
      <c r="F20" t="inlineStr">
        <is>
          <t>primary</t>
        </is>
      </c>
      <c r="G20" t="inlineStr">
        <is>
          <t>https://arxiv.org/abs/2604.05969</t>
        </is>
      </c>
      <c r="H20" t="inlineStr">
        <is>
          <t>ya</t>
        </is>
      </c>
      <c r="I20" t="inlineStr">
        <is>
          <t>proposal_only</t>
        </is>
      </c>
      <c r="J20" t="inlineStr">
        <is>
          <t>MCPSHIELD</t>
        </is>
      </c>
      <c r="K20" t="inlineStr">
        <is>
          <t>protocol_provision</t>
        </is>
      </c>
      <c r="L20" t="inlineStr">
        <is>
          <t>Kerangka formal dan arsitektur defense-in-depth empat lapis (MCPSHIELD) berbasis model verifikasi formal Labeled Transition Systems untuk mengamankan ekosistem agen MCP.</t>
        </is>
      </c>
      <c r="M20" t="inlineStr">
        <is>
          <t>tidak</t>
        </is>
      </c>
      <c r="N20" t="inlineStr">
        <is>
          <t>gateway_proxy</t>
        </is>
      </c>
      <c r="O20" t="inlineStr">
        <is>
          <t>R1;R2;R3;R4;R5;R6;R7</t>
        </is>
      </c>
      <c r="P20" t="inlineStr">
        <is>
          <t>A1;A2;B1;B2;C1;C3;C5;D1;D3</t>
        </is>
      </c>
      <c r="Q20" t="inlineStr"/>
      <c r="R20" t="inlineStr">
        <is>
          <t>none</t>
        </is>
      </c>
      <c r="S20" t="inlineStr"/>
      <c r="T20" t="inlineStr">
        <is>
          <t>none</t>
        </is>
      </c>
      <c r="U20" t="inlineStr">
        <is>
          <t>n/a_tanpa_evaluasi</t>
        </is>
      </c>
      <c r="V20" t="inlineStr"/>
      <c r="W20" t="inlineStr"/>
      <c r="X20" t="inlineStr">
        <is>
          <t>none</t>
        </is>
      </c>
      <c r="Y20" t="inlineStr">
        <is>
          <t>not_reported</t>
        </is>
      </c>
      <c r="Z20" t="inlineStr">
        <is>
          <t>Kerangka keamanan formal dan arsitektur defense-in-depth berlapis (MCPSHIELD) berbasis model verifikasi formal Labeled Transition Systems (LTS). Tidak menyertakan evaluasi empiris pertahanan terhadap serangan. KODER 1 menandai defense_primary dengan jenis_evaluasi none (L0).</t>
        </is>
      </c>
      <c r="AA20" t="inlineStr">
        <is>
          <t>L0</t>
        </is>
      </c>
      <c r="AB20" t="inlineStr"/>
      <c r="AC20" t="inlineStr">
        <is>
          <t>include</t>
        </is>
      </c>
      <c r="AD20" t="inlineStr"/>
      <c r="AE20" t="inlineStr"/>
      <c r="AF20" t="inlineStr">
        <is>
          <t>Baseline (148-corpus)</t>
        </is>
      </c>
      <c r="AG20" t="inlineStr">
        <is>
          <t>L0</t>
        </is>
      </c>
      <c r="AH20" t="inlineStr">
        <is>
          <t>N/A</t>
        </is>
      </c>
    </row>
    <row r="21">
      <c r="A21" t="inlineStr">
        <is>
          <t>parya-2026-mcp-scanner-detecting-security-risks</t>
        </is>
      </c>
      <c r="B21" t="inlineStr">
        <is>
          <t>MCP-Scanner: Detecting Security Risks in Model Context Protocol Systems</t>
        </is>
      </c>
      <c r="C21" t="n">
        <v>2026</v>
      </c>
      <c r="D21" t="inlineStr">
        <is>
          <t>E1</t>
        </is>
      </c>
      <c r="E21" t="inlineStr">
        <is>
          <t>kandidat_agent</t>
        </is>
      </c>
      <c r="F21" t="inlineStr">
        <is>
          <t>primary</t>
        </is>
      </c>
      <c r="G21" t="inlineStr">
        <is>
          <t>https://doi.org/10.1145/3786160.3788471</t>
        </is>
      </c>
      <c r="H21" t="inlineStr">
        <is>
          <t>ya</t>
        </is>
      </c>
      <c r="I21" t="inlineStr">
        <is>
          <t>defense_primary</t>
        </is>
      </c>
      <c r="J21" t="inlineStr">
        <is>
          <t>MCP-Scanner (eSentire MCP-Scanner)</t>
        </is>
      </c>
      <c r="K21" t="inlineStr">
        <is>
          <t>content_inspection_static</t>
        </is>
      </c>
      <c r="L21" t="inlineStr">
        <is>
          <t>Pemindai komprehensif multi-layer (kata kunci, SentenceTransformer embeddings, dan LLM-as-judge) untuk memeriksa keamanan tools, prompts, dan resources server MCP.</t>
        </is>
      </c>
      <c r="M21" t="inlineStr">
        <is>
          <t>ya</t>
        </is>
      </c>
      <c r="N21" t="inlineStr">
        <is>
          <t>offline_analysis</t>
        </is>
      </c>
      <c r="O21" t="inlineStr">
        <is>
          <t>R1;R2;R3;R5;R7</t>
        </is>
      </c>
      <c r="P21" t="inlineStr">
        <is>
          <t>A1;A2;B2;C1;D3</t>
        </is>
      </c>
      <c r="Q21" t="inlineStr">
        <is>
          <t>A1;A2;D3</t>
        </is>
      </c>
      <c r="R21" t="inlineStr">
        <is>
          <t>author_run</t>
        </is>
      </c>
      <c r="S21" t="inlineStr"/>
      <c r="T21" t="inlineStr">
        <is>
          <t>mixed</t>
        </is>
      </c>
      <c r="U21" t="inlineStr">
        <is>
          <t>tidak</t>
        </is>
      </c>
      <c r="V21" t="inlineStr"/>
      <c r="W21" t="inlineStr">
        <is>
          <t>Sec. 6, Tabel 1 &amp; 2, hal. 6-8</t>
        </is>
      </c>
      <c r="X21" t="inlineStr">
        <is>
          <t>none</t>
        </is>
      </c>
      <c r="Y21" t="inlineStr">
        <is>
          <t>cakupan deteksi 13 kategori kerentanan pada 14 server MCP (Tabel 1 &amp; 2)</t>
        </is>
      </c>
      <c r="Z21" t="inlineStr">
        <is>
          <t>MCP-Scanner (defense_primary, L1). Evaluasi pemindaian statis AST/regex pada 14 server MCP (Tabel 2). Tabel 1 membandingkan 22 kategori kerentanan komparatif secara literatur (14 kategori diklaim terdeteksi oleh MCP-Scanner); tidak ada eksekusi eksperimen kuantitatif terhadap perkakas lain sehingga ditolak sebagai evaluator L2.</t>
        </is>
      </c>
      <c r="AA21" t="inlineStr">
        <is>
          <t>L1</t>
        </is>
      </c>
      <c r="AB21" t="inlineStr"/>
      <c r="AC21" t="inlineStr">
        <is>
          <t>include</t>
        </is>
      </c>
      <c r="AD21" t="inlineStr"/>
      <c r="AE21" t="inlineStr"/>
      <c r="AF21" t="inlineStr">
        <is>
          <t>Baseline (148-corpus)</t>
        </is>
      </c>
      <c r="AG21" t="inlineStr">
        <is>
          <t>L1</t>
        </is>
      </c>
      <c r="AH21" t="inlineStr">
        <is>
          <t>No</t>
        </is>
      </c>
    </row>
    <row r="22">
      <c r="A22" t="inlineStr">
        <is>
          <t>pek-2026-cascade-component-ablation-corpus-audit</t>
        </is>
      </c>
      <c r="B22" t="inlineStr">
        <is>
          <t>CASCADE: A Component Ablation and Corpus Audit of a Layered Local Defense for MCP-Based Systems</t>
        </is>
      </c>
      <c r="C22" t="n">
        <v>2026</v>
      </c>
      <c r="D22" t="inlineStr">
        <is>
          <t>E2</t>
        </is>
      </c>
      <c r="E22" t="inlineStr">
        <is>
          <t>kandidat_agent</t>
        </is>
      </c>
      <c r="F22" t="inlineStr">
        <is>
          <t>primary</t>
        </is>
      </c>
      <c r="G22" t="inlineStr">
        <is>
          <t>https://arxiv.org/abs/2604.17125</t>
        </is>
      </c>
      <c r="H22" t="inlineStr">
        <is>
          <t>ya</t>
        </is>
      </c>
      <c r="I22" t="inlineStr">
        <is>
          <t>defense_primary</t>
        </is>
      </c>
      <c r="J22" t="inlineStr">
        <is>
          <t>CASCADE</t>
        </is>
      </c>
      <c r="K22" t="inlineStr">
        <is>
          <t>content_inspection_runtime</t>
        </is>
      </c>
      <c r="L22" t="inlineStr">
        <is>
          <t>Pertahanan berlapis lokal untuk sistem MCP yang memadukan filter kemiripan embedding cepat dan model review lokal Llama-3 8B untuk menangani permintaan ambigu/mencurigakan.</t>
        </is>
      </c>
      <c r="M22" t="inlineStr">
        <is>
          <t>ya</t>
        </is>
      </c>
      <c r="N22" t="inlineStr">
        <is>
          <t>H</t>
        </is>
      </c>
      <c r="O22" t="inlineStr">
        <is>
          <t>R2</t>
        </is>
      </c>
      <c r="P22" t="inlineStr">
        <is>
          <t>A1;A2</t>
        </is>
      </c>
      <c r="Q22" t="inlineStr">
        <is>
          <t>A1;A2</t>
        </is>
      </c>
      <c r="R22" t="inlineStr">
        <is>
          <t>author_run</t>
        </is>
      </c>
      <c r="S22" t="inlineStr"/>
      <c r="T22" t="inlineStr">
        <is>
          <t>mixed</t>
        </is>
      </c>
      <c r="U22" t="inlineStr">
        <is>
          <t>tidak</t>
        </is>
      </c>
      <c r="V22" t="inlineStr"/>
      <c r="W22" t="inlineStr">
        <is>
          <t>Sec 4; Sec 4.1; Sec 4.2; Table 5; Table 6; hal. 8-15</t>
        </is>
      </c>
      <c r="X22" t="inlineStr">
        <is>
          <t>none</t>
        </is>
      </c>
      <c r="Y22" t="inlineStr">
        <is>
          <t>latensi per tahap, throughput, dan tingkat pemanggilan model review (32.56%) dilaporkan (Sec 4)</t>
        </is>
      </c>
      <c r="Z22" t="inlineStr">
        <is>
          <t>Pertahanan berlapis lokal untuk sistem MCP (CASCADE) memadukan embedding filter deterministik dan model review lokal Llama-3 8B. Dievaluasi secara ketat pada 5.000 sampel korpus riil/augmentasi dengan ablasi komponen menyeluruh. Catatan deployment: prototipe internal/eksperimental (belum dirilis secara publik).</t>
        </is>
      </c>
      <c r="AA22" t="inlineStr">
        <is>
          <t>L1</t>
        </is>
      </c>
      <c r="AB22" t="inlineStr"/>
      <c r="AC22" t="inlineStr">
        <is>
          <t>include</t>
        </is>
      </c>
      <c r="AD22" t="inlineStr"/>
      <c r="AE22" t="inlineStr"/>
      <c r="AF22" t="inlineStr">
        <is>
          <t>Baseline (148-corpus)</t>
        </is>
      </c>
      <c r="AG22" t="inlineStr">
        <is>
          <t>L1</t>
        </is>
      </c>
      <c r="AH22" t="inlineStr">
        <is>
          <t>No</t>
        </is>
      </c>
    </row>
    <row r="23">
      <c r="A23" t="inlineStr">
        <is>
          <t>ping-2026-hybrid-analysis-secure-mcp-tool</t>
        </is>
      </c>
      <c r="B23" t="inlineStr">
        <is>
          <t>Hybrid Analysis for Secure MCP Tool Use in LLM Agents</t>
        </is>
      </c>
      <c r="C23" t="n">
        <v>2026</v>
      </c>
      <c r="D23" t="inlineStr">
        <is>
          <t>E2</t>
        </is>
      </c>
      <c r="E23" t="inlineStr">
        <is>
          <t>kandidat_agent</t>
        </is>
      </c>
      <c r="F23" t="inlineStr">
        <is>
          <t>primary</t>
        </is>
      </c>
      <c r="G23" t="inlineStr">
        <is>
          <t>https://arxiv.org/abs/2607.25297</t>
        </is>
      </c>
      <c r="H23" t="inlineStr">
        <is>
          <t>ya</t>
        </is>
      </c>
      <c r="I23" t="inlineStr">
        <is>
          <t>defense_primary</t>
        </is>
      </c>
      <c r="J23" t="inlineStr">
        <is>
          <t>MTGuard</t>
        </is>
      </c>
      <c r="K23" t="inlineStr">
        <is>
          <t>content_inspection_runtime</t>
        </is>
      </c>
      <c r="L23" t="inlineStr">
        <is>
          <t>Kerangka analisis hibrida siklus hidup (MTGuard) yang mengombinasikan asesmen risiko pra-eksekusi dan verifikasi hasil pasca-eksekusi pada pemanggilan tool MCP.</t>
        </is>
      </c>
      <c r="M23" t="inlineStr">
        <is>
          <t>ya</t>
        </is>
      </c>
      <c r="N23" t="inlineStr">
        <is>
          <t>H</t>
        </is>
      </c>
      <c r="O23" t="inlineStr">
        <is>
          <t>R2;R5</t>
        </is>
      </c>
      <c r="P23" t="inlineStr">
        <is>
          <t>A1;A2;C5</t>
        </is>
      </c>
      <c r="Q23" t="inlineStr">
        <is>
          <t>A1;A2;C5</t>
        </is>
      </c>
      <c r="R23" t="inlineStr">
        <is>
          <t>author_run</t>
        </is>
      </c>
      <c r="S23" t="inlineStr"/>
      <c r="T23" t="inlineStr">
        <is>
          <t>mixed</t>
        </is>
      </c>
      <c r="U23" t="inlineStr">
        <is>
          <t>tidak</t>
        </is>
      </c>
      <c r="V23" t="inlineStr"/>
      <c r="W23" t="inlineStr">
        <is>
          <t>Sec 5; Table 1; Table 2; Table 3; hal. 6-10</t>
        </is>
      </c>
      <c r="X23" t="inlineStr">
        <is>
          <t>none</t>
        </is>
      </c>
      <c r="Y23" t="inlineStr">
        <is>
          <t>latensi runtime dan false positive rate dilaporkan (Sec 5, Tabel 2)</t>
        </is>
      </c>
      <c r="Z23" t="inlineStr">
        <is>
          <t>Framework pertahanan analisis hibrida (MTGuard) yang mengombinasikan asesmen pra-eksekusi dan verifikasi pasca-eksekusi pemanggilan tool MCP. Dievaluasi pada agen otomatisasi peramban dan analisis finansial, mencapai rata-rata detection rate 48.3% vs baseline 8.3%. Catatan deployment: prototipe internal/eksperimental (belum dirilis secara publik).</t>
        </is>
      </c>
      <c r="AA23" t="inlineStr">
        <is>
          <t>L1</t>
        </is>
      </c>
      <c r="AB23" t="inlineStr"/>
      <c r="AC23" t="inlineStr">
        <is>
          <t>include</t>
        </is>
      </c>
      <c r="AD23" t="inlineStr"/>
      <c r="AE23" t="inlineStr"/>
      <c r="AF23" t="inlineStr">
        <is>
          <t>Baseline (148-corpus)</t>
        </is>
      </c>
      <c r="AG23" t="inlineStr">
        <is>
          <t>L1</t>
        </is>
      </c>
      <c r="AH23" t="inlineStr">
        <is>
          <t>No</t>
        </is>
      </c>
    </row>
    <row r="24">
      <c r="A24" t="inlineStr">
        <is>
          <t>samuel-2026-secure-sandbox-environment-orchestrating-medical</t>
        </is>
      </c>
      <c r="B24" t="inlineStr">
        <is>
          <t>A Secure Sandbox Environment for Orchestrating Medical AI Agents Using Model Context Protocols and Role-Based Access Control.</t>
        </is>
      </c>
      <c r="C24" t="n">
        <v>2026</v>
      </c>
      <c r="D24" t="inlineStr">
        <is>
          <t>E2</t>
        </is>
      </c>
      <c r="E24" t="inlineStr">
        <is>
          <t>kandidat_agent</t>
        </is>
      </c>
      <c r="F24" t="inlineStr">
        <is>
          <t>primary</t>
        </is>
      </c>
      <c r="G24" t="inlineStr"/>
      <c r="H24" t="inlineStr">
        <is>
          <t>tidak</t>
        </is>
      </c>
      <c r="I24" t="inlineStr">
        <is>
          <t>defense_primary</t>
        </is>
      </c>
      <c r="J24" t="inlineStr">
        <is>
          <t>Secure Sandbox Environment with RBAC</t>
        </is>
      </c>
      <c r="K24" t="inlineStr">
        <is>
          <t>deterministic_policy</t>
        </is>
      </c>
      <c r="L24" t="inlineStr">
        <is>
          <t>Lingkungan sandbox yang aman dan kontrol akses berbasis peran (RBAC) untuk mengorkestrasi agen AI medis yang berkomunikasi melalui Model Context Protocol.</t>
        </is>
      </c>
      <c r="M24" t="inlineStr">
        <is>
          <t>tidak</t>
        </is>
      </c>
      <c r="N24" t="inlineStr">
        <is>
          <t>gateway_proxy</t>
        </is>
      </c>
      <c r="O24" t="inlineStr">
        <is>
          <t>R2;R4;R5;R6</t>
        </is>
      </c>
      <c r="P24" t="inlineStr">
        <is>
          <t>A2;D1;C3</t>
        </is>
      </c>
      <c r="Q24" t="inlineStr"/>
      <c r="R24" t="inlineStr"/>
      <c r="S24" t="inlineStr"/>
      <c r="T24" t="inlineStr"/>
      <c r="U24" t="inlineStr"/>
      <c r="V24" t="inlineStr"/>
      <c r="W24" t="inlineStr"/>
      <c r="X24" t="inlineStr"/>
      <c r="Y24" t="inlineStr"/>
      <c r="Z24" t="inlineStr">
        <is>
          <t>[NON-OA / ABSTRACT-ONLY] Prosiding AMIA Joint Summits on Translational Science. Lingkungan sandbox dengan RBAC untuk alur kerja medis pada MCP (A2, D1, C3). Klaim default C1 dicabut.</t>
        </is>
      </c>
      <c r="AA24" t="inlineStr"/>
      <c r="AB24" t="inlineStr"/>
      <c r="AC24" t="inlineStr">
        <is>
          <t>include</t>
        </is>
      </c>
      <c r="AD24" t="inlineStr"/>
      <c r="AE24" t="inlineStr"/>
      <c r="AF24" t="inlineStr">
        <is>
          <t>Baseline (148-corpus)</t>
        </is>
      </c>
      <c r="AG24" t="inlineStr">
        <is>
          <t>L1</t>
        </is>
      </c>
      <c r="AH24" t="inlineStr">
        <is>
          <t>N/A</t>
        </is>
      </c>
    </row>
    <row r="25">
      <c r="A25" t="inlineStr">
        <is>
          <t>shiqiang-2025-secure-model-context-protocol-large</t>
        </is>
      </c>
      <c r="B25" t="inlineStr">
        <is>
          <t>Secure Model Context Protocol for Large Language Models with Dual Signatures</t>
        </is>
      </c>
      <c r="C25" t="n">
        <v>2025</v>
      </c>
      <c r="D25" t="inlineStr">
        <is>
          <t>E1</t>
        </is>
      </c>
      <c r="E25" t="inlineStr">
        <is>
          <t>kandidat_agent</t>
        </is>
      </c>
      <c r="F25" t="inlineStr">
        <is>
          <t>primary</t>
        </is>
      </c>
      <c r="G25" t="inlineStr">
        <is>
          <t>https://doi.org/10.1145/3737897.3767287</t>
        </is>
      </c>
      <c r="H25" t="inlineStr">
        <is>
          <t>ya</t>
        </is>
      </c>
      <c r="I25" t="inlineStr">
        <is>
          <t>defense_primary</t>
        </is>
      </c>
      <c r="J25" t="inlineStr">
        <is>
          <t>Dual Signature MCP</t>
        </is>
      </c>
      <c r="K25" t="inlineStr">
        <is>
          <t>integrity_provenance</t>
        </is>
      </c>
      <c r="L25" t="inlineStr">
        <is>
          <t>Mekanisme verifikasi tanda tangan digital ganda (developer dan platform tepercaya) pada metadata tool dan berkas server MCP untuk mencegah tampering dan tool poisoning.</t>
        </is>
      </c>
      <c r="M25" t="inlineStr">
        <is>
          <t>tidak</t>
        </is>
      </c>
      <c r="N25" t="inlineStr">
        <is>
          <t>C</t>
        </is>
      </c>
      <c r="O25" t="inlineStr">
        <is>
          <t>R1;R2;R7</t>
        </is>
      </c>
      <c r="P25" t="inlineStr">
        <is>
          <t>A1;B1;D3</t>
        </is>
      </c>
      <c r="Q25" t="inlineStr">
        <is>
          <t>A1;B1;D3</t>
        </is>
      </c>
      <c r="R25" t="inlineStr">
        <is>
          <t>author_run</t>
        </is>
      </c>
      <c r="S25" t="inlineStr"/>
      <c r="T25" t="inlineStr">
        <is>
          <t>authors_own</t>
        </is>
      </c>
      <c r="U25" t="inlineStr">
        <is>
          <t>tidak</t>
        </is>
      </c>
      <c r="V25" t="inlineStr"/>
      <c r="W25" t="inlineStr">
        <is>
          <t>Sec. 5, Tabel 1, hal. 4-5</t>
        </is>
      </c>
      <c r="X25" t="inlineStr">
        <is>
          <t>none</t>
        </is>
      </c>
      <c r="Y25" t="inlineStr">
        <is>
          <t>latensi eksekusi 28.9 ms (+2.6 ms vs standar 26.3 ms), overhead memori +1.84% (Tabel 1)</t>
        </is>
      </c>
      <c r="Z25" t="inlineStr">
        <is>
          <t>Dual Signature MCP (defense_primary, L1). Verifikasi tanda tangan ganda mencegah modifikasi kode/tampering server setelah registrasi (B1/D3) dan injeksi prompt tool Add (A1). Latensi +2.6 ms (Tabel 1).</t>
        </is>
      </c>
      <c r="AA25" t="inlineStr">
        <is>
          <t>L1</t>
        </is>
      </c>
      <c r="AB25" t="inlineStr"/>
      <c r="AC25" t="inlineStr">
        <is>
          <t>include</t>
        </is>
      </c>
      <c r="AD25" t="inlineStr"/>
      <c r="AE25" t="inlineStr"/>
      <c r="AF25" t="inlineStr">
        <is>
          <t>Baseline (148-corpus)</t>
        </is>
      </c>
      <c r="AG25" t="inlineStr">
        <is>
          <t>L1</t>
        </is>
      </c>
      <c r="AH25" t="inlineStr">
        <is>
          <t>No</t>
        </is>
      </c>
    </row>
    <row r="26">
      <c r="A26" t="inlineStr">
        <is>
          <t>shriti-2026-aegis-preventing-cross-domain-resource</t>
        </is>
      </c>
      <c r="B26" t="inlineStr">
        <is>
          <t>AEGIS: Preventing Cross-Domain Resource Abuse in MCP</t>
        </is>
      </c>
      <c r="C26" t="n">
        <v>2026</v>
      </c>
      <c r="D26" t="inlineStr">
        <is>
          <t>E2</t>
        </is>
      </c>
      <c r="E26" t="inlineStr">
        <is>
          <t>kandidat_agent</t>
        </is>
      </c>
      <c r="F26" t="inlineStr">
        <is>
          <t>primary</t>
        </is>
      </c>
      <c r="G26" t="inlineStr">
        <is>
          <t>https://arxiv.org/abs/2608.20481</t>
        </is>
      </c>
      <c r="H26" t="inlineStr">
        <is>
          <t>ya</t>
        </is>
      </c>
      <c r="I26" t="inlineStr">
        <is>
          <t>defense_primary</t>
        </is>
      </c>
      <c r="J26" t="inlineStr">
        <is>
          <t>AEGIS</t>
        </is>
      </c>
      <c r="K26" t="inlineStr">
        <is>
          <t>deterministic_policy</t>
        </is>
      </c>
      <c r="L26" t="inlineStr">
        <is>
          <t>Komponen penegakan kebijakan pada gateway AI (ContextForge + OPA) yang menormalisasi ontologi parameter tools dan membatasi pemanggilan berlebihan untuk mencegah abuse sumber daya.</t>
        </is>
      </c>
      <c r="M26" t="inlineStr">
        <is>
          <t>tidak</t>
        </is>
      </c>
      <c r="N26" t="inlineStr">
        <is>
          <t>gateway_proxy</t>
        </is>
      </c>
      <c r="O26" t="inlineStr">
        <is>
          <t>R2;R3</t>
        </is>
      </c>
      <c r="P26" t="inlineStr">
        <is>
          <t>OUT_OF_TAXONOMY:resource_abuse</t>
        </is>
      </c>
      <c r="Q26" t="inlineStr">
        <is>
          <t>OUT_OF_TAXONOMY:resource_abuse</t>
        </is>
      </c>
      <c r="R26" t="inlineStr">
        <is>
          <t>author_run</t>
        </is>
      </c>
      <c r="S26" t="inlineStr"/>
      <c r="T26" t="inlineStr">
        <is>
          <t>authors_own</t>
        </is>
      </c>
      <c r="U26" t="inlineStr">
        <is>
          <t>tidak</t>
        </is>
      </c>
      <c r="V26" t="inlineStr"/>
      <c r="W26" t="inlineStr">
        <is>
          <t>Sec. VII-C, Tabel III, hal. 5</t>
        </is>
      </c>
      <c r="X26" t="inlineStr">
        <is>
          <t>none</t>
        </is>
      </c>
      <c r="Y26" t="inlineStr">
        <is>
          <t>Throughput 30.03 req/s vs 1.34; p95 latency 2863 ms vs 15562 ms; mem max 387.7 MB; waktu 4.17s</t>
        </is>
      </c>
      <c r="Z26" t="inlineStr">
        <is>
          <t>AEGIS: Preventing Cross-Domain Resource Abuse in MCP (defense_primary, L1). Menggunakan ontologi tool dan ambang batas OPA untuk mencegah eksploitasi dan konsumsi sumber daya berlebih lintas server/modalitas (RQ2). Kode internal IBM mcp-context-forge. Catatan deployment: prototipe internal/eksperimental (belum dirilis secara publik).</t>
        </is>
      </c>
      <c r="AA26" t="inlineStr">
        <is>
          <t>L1</t>
        </is>
      </c>
      <c r="AB26" t="inlineStr"/>
      <c r="AC26" t="inlineStr">
        <is>
          <t>include</t>
        </is>
      </c>
      <c r="AD26" t="inlineStr"/>
      <c r="AE26" t="inlineStr"/>
      <c r="AF26" t="inlineStr">
        <is>
          <t>Baseline (148-corpus)</t>
        </is>
      </c>
      <c r="AG26" t="inlineStr">
        <is>
          <t>L1</t>
        </is>
      </c>
      <c r="AH26" t="inlineStr">
        <is>
          <t>No</t>
        </is>
      </c>
    </row>
    <row r="27">
      <c r="A27" t="inlineStr">
        <is>
          <t>suraj-2026-gateway-architecture-enterprise-mcp-authentication</t>
        </is>
      </c>
      <c r="B27" t="inlineStr">
        <is>
          <t>A Gateway Architecture for Enterprise MCP Authentication: Unifying Heterogeneous Auth, Identity Delegation, and the User / Non-User Persona Problem</t>
        </is>
      </c>
      <c r="C27" t="n">
        <v>2026</v>
      </c>
      <c r="D27" t="inlineStr">
        <is>
          <t>E2</t>
        </is>
      </c>
      <c r="E27" t="inlineStr">
        <is>
          <t>kandidat_agent</t>
        </is>
      </c>
      <c r="F27" t="inlineStr">
        <is>
          <t>primary</t>
        </is>
      </c>
      <c r="G27" t="inlineStr">
        <is>
          <t>https://arxiv.org/abs/2608.10760</t>
        </is>
      </c>
      <c r="H27" t="inlineStr">
        <is>
          <t>ya</t>
        </is>
      </c>
      <c r="I27" t="inlineStr">
        <is>
          <t>proposal_only</t>
        </is>
      </c>
      <c r="J27" t="inlineStr">
        <is>
          <t>Enterprise MCP Authentication Gateway</t>
        </is>
      </c>
      <c r="K27" t="inlineStr">
        <is>
          <t>deterministic_policy</t>
        </is>
      </c>
      <c r="L27" t="inlineStr">
        <is>
          <t>Arsitektur gateway terpusat yang menerapkan model autentikasi dua sumbu (persona x kredensial), delegasi identitas OAuth/SSO, dan pengecekan akses service-account untuk mencegah confused deputy pada MCP enterprise.</t>
        </is>
      </c>
      <c r="M27" t="inlineStr">
        <is>
          <t>tidak</t>
        </is>
      </c>
      <c r="N27" t="inlineStr">
        <is>
          <t>gateway_proxy</t>
        </is>
      </c>
      <c r="O27" t="inlineStr">
        <is>
          <t>R1;R2;R3</t>
        </is>
      </c>
      <c r="P27" t="inlineStr">
        <is>
          <t>C1;C3;A3</t>
        </is>
      </c>
      <c r="Q27" t="inlineStr"/>
      <c r="R27" t="inlineStr">
        <is>
          <t>none</t>
        </is>
      </c>
      <c r="S27" t="inlineStr"/>
      <c r="T27" t="inlineStr">
        <is>
          <t>none</t>
        </is>
      </c>
      <c r="U27" t="inlineStr">
        <is>
          <t>n/a_tanpa_evaluasi</t>
        </is>
      </c>
      <c r="V27" t="inlineStr"/>
      <c r="W27" t="inlineStr">
        <is>
          <t>Sec. 4-7, hal. 3-8</t>
        </is>
      </c>
      <c r="X27" t="inlineStr">
        <is>
          <t>none</t>
        </is>
      </c>
      <c r="Y27" t="inlineStr">
        <is>
          <t>not_reported</t>
        </is>
      </c>
      <c r="Z27" t="inlineStr">
        <is>
          <t>Makalah industry track (arXiv:2608.10760) mendokumentasikan arsitektur gateway autentikasi MCP di lingkungan internal PayPal. Tanpa evaluasi empiris pertahanan terhadap dataset serangan, dan tanpa dokumentasi rilis produk publik bertanggal mandiri, sehingga deployment dikode none (L0).</t>
        </is>
      </c>
      <c r="AA27" t="inlineStr">
        <is>
          <t>L0</t>
        </is>
      </c>
      <c r="AB27" t="inlineStr"/>
      <c r="AC27" t="inlineStr">
        <is>
          <t>include</t>
        </is>
      </c>
      <c r="AD27" t="inlineStr"/>
      <c r="AE27" t="inlineStr"/>
      <c r="AF27" t="inlineStr">
        <is>
          <t>Baseline (148-corpus)</t>
        </is>
      </c>
      <c r="AG27" t="inlineStr">
        <is>
          <t>L0</t>
        </is>
      </c>
      <c r="AH27" t="inlineStr">
        <is>
          <t>N/A</t>
        </is>
      </c>
    </row>
    <row r="28">
      <c r="A28" t="inlineStr">
        <is>
          <t>tobias-2026-machine-learning-based-detection-mcp</t>
        </is>
      </c>
      <c r="B28" t="inlineStr">
        <is>
          <t>Machine Learning-Based Detection of MCP Attacks</t>
        </is>
      </c>
      <c r="C28" t="n">
        <v>2026</v>
      </c>
      <c r="D28" t="inlineStr">
        <is>
          <t>E2</t>
        </is>
      </c>
      <c r="E28" t="inlineStr">
        <is>
          <t>kandidat_agent</t>
        </is>
      </c>
      <c r="F28" t="inlineStr">
        <is>
          <t>primary</t>
        </is>
      </c>
      <c r="G28" t="inlineStr">
        <is>
          <t>https://arxiv.org/abs/2604.10534</t>
        </is>
      </c>
      <c r="H28" t="inlineStr">
        <is>
          <t>ya</t>
        </is>
      </c>
      <c r="I28" t="inlineStr">
        <is>
          <t>defense_primary</t>
        </is>
      </c>
      <c r="J28" t="inlineStr">
        <is>
          <t>MCP ML-Based Attack Detector</t>
        </is>
      </c>
      <c r="K28" t="inlineStr">
        <is>
          <t>content_inspection_runtime</t>
        </is>
      </c>
      <c r="L28" t="inlineStr">
        <is>
          <t>Middleware deteksi berbasis machine learning terawasi (BERT, BiLSTM, SVC) yang menginspeksi deskripsi tool MCP sebelum eksekusi untuk mengidentifikasi dan memblokir tool poisoning.</t>
        </is>
      </c>
      <c r="M28" t="inlineStr">
        <is>
          <t>tidak</t>
        </is>
      </c>
      <c r="N28" t="inlineStr">
        <is>
          <t>gateway_proxy</t>
        </is>
      </c>
      <c r="O28" t="inlineStr">
        <is>
          <t>R2;R3</t>
        </is>
      </c>
      <c r="P28" t="inlineStr">
        <is>
          <t>A1;B1</t>
        </is>
      </c>
      <c r="Q28" t="inlineStr">
        <is>
          <t>A1</t>
        </is>
      </c>
      <c r="R28" t="inlineStr">
        <is>
          <t>author_run</t>
        </is>
      </c>
      <c r="S28" t="inlineStr"/>
      <c r="T28" t="inlineStr">
        <is>
          <t>third_party_public</t>
        </is>
      </c>
      <c r="U28" t="inlineStr">
        <is>
          <t>tidak</t>
        </is>
      </c>
      <c r="V28" t="inlineStr"/>
      <c r="W28" t="inlineStr">
        <is>
          <t>Sec. 4, Tabel 4, hal. 7-10</t>
        </is>
      </c>
      <c r="X28" t="inlineStr">
        <is>
          <t>none</t>
        </is>
      </c>
      <c r="Y28" t="inlineStr">
        <is>
          <t>Confusion matrix, F1 100% biner, multiclass SVC 90.56% dan BERT 88.33%</t>
        </is>
      </c>
      <c r="Z28" t="inlineStr">
        <is>
          <t>KODER 1 menandai teks lengkap. Model supervised ML (SVC, BERT, BiLSTM) dievaluasi pada dataset publik MCP-Tox; tanpa pengujian penyerang adaptif. Catatan deployment: prototipe internal/eksperimental (belum dirilis secara publik).</t>
        </is>
      </c>
      <c r="AA28" t="inlineStr">
        <is>
          <t>L1</t>
        </is>
      </c>
      <c r="AB28" t="inlineStr"/>
      <c r="AC28" t="inlineStr">
        <is>
          <t>include</t>
        </is>
      </c>
      <c r="AD28" t="inlineStr"/>
      <c r="AE28" t="inlineStr"/>
      <c r="AF28" t="inlineStr">
        <is>
          <t>Baseline (148-corpus)</t>
        </is>
      </c>
      <c r="AG28" t="inlineStr">
        <is>
          <t>L1</t>
        </is>
      </c>
      <c r="AH28" t="inlineStr">
        <is>
          <t>No</t>
        </is>
      </c>
    </row>
    <row r="29">
      <c r="A29" t="inlineStr">
        <is>
          <t>wenpeng-2025-mcp-guard-multi-stage-defense</t>
        </is>
      </c>
      <c r="B29" t="inlineStr">
        <is>
          <t>MCP-Guard: A Multi-Stage Defense-in-Depth Framework for Securing Model Context Protocol in Agentic AI</t>
        </is>
      </c>
      <c r="C29" t="n">
        <v>2025</v>
      </c>
      <c r="D29" t="inlineStr">
        <is>
          <t>E1</t>
        </is>
      </c>
      <c r="E29" t="inlineStr">
        <is>
          <t>kandidat_agent</t>
        </is>
      </c>
      <c r="F29" t="inlineStr">
        <is>
          <t>primary</t>
        </is>
      </c>
      <c r="G29" t="inlineStr">
        <is>
          <t>https://arxiv.org/abs/2508.10991</t>
        </is>
      </c>
      <c r="H29" t="inlineStr">
        <is>
          <t>ya</t>
        </is>
      </c>
      <c r="I29" t="inlineStr">
        <is>
          <t>defense_primary</t>
        </is>
      </c>
      <c r="J29" t="inlineStr">
        <is>
          <t>MCP-GUARD</t>
        </is>
      </c>
      <c r="K29" t="inlineStr">
        <is>
          <t>content_inspection_static</t>
        </is>
      </c>
      <c r="L29" t="inlineStr">
        <is>
          <t>Middleware keamanan tiga tahap yang menggabungkan filter sintaksis WAF (Tahap I), detektor neural berbasis embedding E5 ter-fine-tune (Tahap II), dan arbiter LLM (Tahap III) untuk mendeteksi payload berbahaya pada MCP.</t>
        </is>
      </c>
      <c r="M29" t="inlineStr">
        <is>
          <t>ya</t>
        </is>
      </c>
      <c r="N29" t="inlineStr">
        <is>
          <t>gateway_proxy</t>
        </is>
      </c>
      <c r="O29" t="inlineStr">
        <is>
          <t>R2;R6;R7</t>
        </is>
      </c>
      <c r="P29" t="inlineStr">
        <is>
          <t>A1;A2;B1;B2;D1</t>
        </is>
      </c>
      <c r="Q29" t="inlineStr">
        <is>
          <t>A1;A2;B1;B2</t>
        </is>
      </c>
      <c r="R29" t="inlineStr">
        <is>
          <t>author_run</t>
        </is>
      </c>
      <c r="S29" t="inlineStr"/>
      <c r="T29" t="inlineStr">
        <is>
          <t>mixed</t>
        </is>
      </c>
      <c r="U29" t="inlineStr">
        <is>
          <t>tidak</t>
        </is>
      </c>
      <c r="V29" t="inlineStr"/>
      <c r="W29" t="inlineStr">
        <is>
          <t>Sec. 5, Tabel 4 &amp; 5, Gambar 3, hal. 6-8</t>
        </is>
      </c>
      <c r="X29" t="inlineStr">
        <is>
          <t>none</t>
        </is>
      </c>
      <c r="Y29" t="inlineStr">
        <is>
          <t>Runtime latency log scale: S1 ~1.2ms, S2 ~42ms, end-to-end pipeline ~120-250ms vs standalone LLM &gt;10,000ms; F1-score 96.01%</t>
        </is>
      </c>
      <c r="Z29" t="inlineStr">
        <is>
          <t>KODER 1 menandai teks lengkap. Pipeline 3-tahap (WAF regex, E5 dense neural embedding, LLM arbitrator). Menggunakan LLM dalam keputusan akhir pada sampel ambigu (P(y|x) ~ 0.5). Catatan deployment: prototipe internal/eksperimental (belum dirilis secara publik).</t>
        </is>
      </c>
      <c r="AA29" t="inlineStr">
        <is>
          <t>L1</t>
        </is>
      </c>
      <c r="AB29" t="inlineStr"/>
      <c r="AC29" t="inlineStr">
        <is>
          <t>include</t>
        </is>
      </c>
      <c r="AD29" t="inlineStr"/>
      <c r="AE29" t="inlineStr"/>
      <c r="AF29" t="inlineStr">
        <is>
          <t>Baseline (148-corpus)</t>
        </is>
      </c>
      <c r="AG29" t="inlineStr">
        <is>
          <t>L1</t>
        </is>
      </c>
      <c r="AH29" t="inlineStr">
        <is>
          <t>No</t>
        </is>
      </c>
    </row>
    <row r="30">
      <c r="A30" t="inlineStr">
        <is>
          <t>wonbae-2026-securemcp-policy-enforced-llm-data</t>
        </is>
      </c>
      <c r="B30" t="inlineStr">
        <is>
          <t>SecureMCP: A Policy-Enforced LLM Data Access Framework for AIoT Systems via Model Context Protocol</t>
        </is>
      </c>
      <c r="C30" t="n">
        <v>2026</v>
      </c>
      <c r="D30" t="inlineStr">
        <is>
          <t>E2</t>
        </is>
      </c>
      <c r="E30" t="inlineStr">
        <is>
          <t>kandidat_agent</t>
        </is>
      </c>
      <c r="F30" t="inlineStr">
        <is>
          <t>primary</t>
        </is>
      </c>
      <c r="G30" t="inlineStr">
        <is>
          <t>https://arxiv.org/abs/2605.05260</t>
        </is>
      </c>
      <c r="H30" t="inlineStr">
        <is>
          <t>ya</t>
        </is>
      </c>
      <c r="I30" t="inlineStr">
        <is>
          <t>defense_primary</t>
        </is>
      </c>
      <c r="J30" t="inlineStr">
        <is>
          <t>SecureMCP</t>
        </is>
      </c>
      <c r="K30" t="inlineStr">
        <is>
          <t>deterministic_policy</t>
        </is>
      </c>
      <c r="L30" t="inlineStr">
        <is>
          <t>Kerangka kerja multi-lapis yang mengintegrasikan mesin RBAC (check_policy), cost gate EXPLAIN MySQL, SQL Interceptor, Risk Level Filter, dan isolasi DB untuk memblokir injeksi dan operasi ilegal pada pipeline NL2SQL MCP.</t>
        </is>
      </c>
      <c r="M30" t="inlineStr">
        <is>
          <t>tidak</t>
        </is>
      </c>
      <c r="N30" t="inlineStr">
        <is>
          <t>gateway_proxy</t>
        </is>
      </c>
      <c r="O30" t="inlineStr">
        <is>
          <t>R2;R3</t>
        </is>
      </c>
      <c r="P30" t="inlineStr">
        <is>
          <t>B1;C1;C2;A2</t>
        </is>
      </c>
      <c r="Q30" t="inlineStr">
        <is>
          <t>B1;C1;C2;A2</t>
        </is>
      </c>
      <c r="R30" t="inlineStr">
        <is>
          <t>author_run</t>
        </is>
      </c>
      <c r="S30" t="inlineStr"/>
      <c r="T30" t="inlineStr">
        <is>
          <t>mixed</t>
        </is>
      </c>
      <c r="U30" t="inlineStr">
        <is>
          <t>tidak</t>
        </is>
      </c>
      <c r="V30" t="inlineStr"/>
      <c r="W30" t="inlineStr">
        <is>
          <t>Sec. 4 &amp; 5, Tabel 1, 5, 6, hal. 6-12</t>
        </is>
      </c>
      <c r="X30" t="inlineStr">
        <is>
          <t>prototype_open_source</t>
        </is>
      </c>
      <c r="Y30" t="inlineStr">
        <is>
          <t>EX-in-ALLOW 65.1%-76.4% vs baseline 63.8%; low operational overhead relatif terhadap inferensi LLM; policy compliance 82.3%</t>
        </is>
      </c>
      <c r="Z30" t="inlineStr">
        <is>
          <t>KODER 1 menandai teks lengkap. Pipeline 5 modul (RBAC check_policy, EXPLAIN cost gate, SQL interceptor, risk level filter, DB isolation). Tanpa pengujian penyerang adaptif. Repositori/artefak: https://zenodo.org/records/15000588.</t>
        </is>
      </c>
      <c r="AA30" t="inlineStr">
        <is>
          <t>L1</t>
        </is>
      </c>
      <c r="AB30" t="inlineStr"/>
      <c r="AC30" t="inlineStr">
        <is>
          <t>include</t>
        </is>
      </c>
      <c r="AD30" t="inlineStr"/>
      <c r="AE30" t="inlineStr"/>
      <c r="AF30" t="inlineStr">
        <is>
          <t>Baseline (148-corpus)</t>
        </is>
      </c>
      <c r="AG30" t="inlineStr">
        <is>
          <t>L1</t>
        </is>
      </c>
      <c r="AH30" t="inlineStr">
        <is>
          <t>No</t>
        </is>
      </c>
    </row>
    <row r="31">
      <c r="A31" t="inlineStr">
        <is>
          <t>xinyi-2026-smcp-secure-model-context-protocol</t>
        </is>
      </c>
      <c r="B31" t="inlineStr">
        <is>
          <t>SMCP: Secure Model Context Protocol</t>
        </is>
      </c>
      <c r="C31" t="n">
        <v>2026</v>
      </c>
      <c r="D31" t="inlineStr">
        <is>
          <t>E2</t>
        </is>
      </c>
      <c r="E31" t="inlineStr">
        <is>
          <t>kandidat_agent</t>
        </is>
      </c>
      <c r="F31" t="inlineStr">
        <is>
          <t>primary</t>
        </is>
      </c>
      <c r="G31" t="inlineStr">
        <is>
          <t>https://arxiv.org/abs/2602.01129</t>
        </is>
      </c>
      <c r="H31" t="inlineStr">
        <is>
          <t>ya</t>
        </is>
      </c>
      <c r="I31" t="inlineStr">
        <is>
          <t>proposal_only</t>
        </is>
      </c>
      <c r="J31" t="inlineStr">
        <is>
          <t>SMCP (Secure Model Context Protocol)</t>
        </is>
      </c>
      <c r="K31" t="inlineStr">
        <is>
          <t>protocol_provision</t>
        </is>
      </c>
      <c r="L31" t="inlineStr">
        <is>
          <t>Ekstensi protokol tingkat sistem yang mengintegrasikan manajemen identitas terpadu, autentikasi mutual, propagasi konteks keamanan berkelanjutan, dan penegakan kebijakan granular untuk mengamankan alur kerja MCP.</t>
        </is>
      </c>
      <c r="M31" t="inlineStr">
        <is>
          <t>tidak</t>
        </is>
      </c>
      <c r="N31" t="inlineStr">
        <is>
          <t>gateway_proxy</t>
        </is>
      </c>
      <c r="O31" t="inlineStr">
        <is>
          <t>R1;R2;R3;R4;R5;R6;R7</t>
        </is>
      </c>
      <c r="P31" t="inlineStr">
        <is>
          <t>A1;B1;C1;C3;D3</t>
        </is>
      </c>
      <c r="Q31" t="inlineStr"/>
      <c r="R31" t="inlineStr">
        <is>
          <t>none</t>
        </is>
      </c>
      <c r="S31" t="inlineStr"/>
      <c r="T31" t="inlineStr">
        <is>
          <t>none</t>
        </is>
      </c>
      <c r="U31" t="inlineStr">
        <is>
          <t>n/a_tanpa_evaluasi</t>
        </is>
      </c>
      <c r="V31" t="inlineStr"/>
      <c r="W31" t="inlineStr">
        <is>
          <t>Sec. 4 &amp; 5, hal. 7-20</t>
        </is>
      </c>
      <c r="X31" t="inlineStr">
        <is>
          <t>none</t>
        </is>
      </c>
      <c r="Y31" t="inlineStr">
        <is>
          <t>not_reported</t>
        </is>
      </c>
      <c r="Z31" t="inlineStr">
        <is>
          <t>Makalah desain dan spesifikasi ekstensi protokol komprehensif (SMCP) tanpa evaluasi empiris pertahanan terhadap dataset serangan. KODER 1 menandai teks lengkap.</t>
        </is>
      </c>
      <c r="AA31" t="inlineStr">
        <is>
          <t>L0</t>
        </is>
      </c>
      <c r="AB31" t="inlineStr"/>
      <c r="AC31" t="inlineStr">
        <is>
          <t>include</t>
        </is>
      </c>
      <c r="AD31" t="inlineStr"/>
      <c r="AE31" t="inlineStr"/>
      <c r="AF31" t="inlineStr">
        <is>
          <t>Baseline (148-corpus)</t>
        </is>
      </c>
      <c r="AG31" t="inlineStr">
        <is>
          <t>L0</t>
        </is>
      </c>
      <c r="AH31" t="inlineStr">
        <is>
          <t>N/A</t>
        </is>
      </c>
    </row>
    <row r="32">
      <c r="A32" t="inlineStr">
        <is>
          <t>yang-2026-mitigating-taint-style-vulnerabilities-mcp</t>
        </is>
      </c>
      <c r="B32" t="inlineStr">
        <is>
          <t>Mitigating Taint-Style Vulnerabilities in MCP Servers via Security-Aware Tool Descriptions</t>
        </is>
      </c>
      <c r="C32" t="n">
        <v>2026</v>
      </c>
      <c r="D32" t="inlineStr">
        <is>
          <t>E2</t>
        </is>
      </c>
      <c r="E32" t="inlineStr">
        <is>
          <t>kandidat_agent</t>
        </is>
      </c>
      <c r="F32" t="inlineStr">
        <is>
          <t>primary</t>
        </is>
      </c>
      <c r="G32" t="inlineStr">
        <is>
          <t>https://arxiv.org/abs/2607.07461</t>
        </is>
      </c>
      <c r="H32" t="inlineStr">
        <is>
          <t>ya</t>
        </is>
      </c>
      <c r="I32" t="inlineStr">
        <is>
          <t>defense_primary</t>
        </is>
      </c>
      <c r="J32" t="inlineStr">
        <is>
          <t>SPELLSMITH</t>
        </is>
      </c>
      <c r="K32" t="inlineStr">
        <is>
          <t>content_inspection_static</t>
        </is>
      </c>
      <c r="L32" t="inlineStr">
        <is>
          <t>Mekanisme mitigasi berbasis teks yang memperkaya deskripsi alat MCP dengan batasan keamanan perilaku dan menggunakan modul refleksi mandiri LLM untuk mencegah eksploitasi kerentanan taint-style.</t>
        </is>
      </c>
      <c r="M32" t="inlineStr">
        <is>
          <t>ya</t>
        </is>
      </c>
      <c r="N32" t="inlineStr">
        <is>
          <t>C</t>
        </is>
      </c>
      <c r="O32" t="inlineStr">
        <is>
          <t>R2;R5;R7</t>
        </is>
      </c>
      <c r="P32" t="inlineStr">
        <is>
          <t>A1;B1;C5</t>
        </is>
      </c>
      <c r="Q32" t="inlineStr">
        <is>
          <t>B1;C5</t>
        </is>
      </c>
      <c r="R32" t="inlineStr">
        <is>
          <t>author_run</t>
        </is>
      </c>
      <c r="S32" t="inlineStr"/>
      <c r="T32" t="inlineStr">
        <is>
          <t>mixed</t>
        </is>
      </c>
      <c r="U32" t="inlineStr">
        <is>
          <t>tidak</t>
        </is>
      </c>
      <c r="V32" t="inlineStr"/>
      <c r="W32" t="inlineStr">
        <is>
          <t>Sec. 6, Tabel 6 &amp; 7, hal. 8-11</t>
        </is>
      </c>
      <c r="X32" t="inlineStr">
        <is>
          <t>none</t>
        </is>
      </c>
      <c r="Y32" t="inlineStr">
        <is>
          <t>ASR menurun dari 80.8% menjadi 1.5% (post-reflection); overhead komputasi inferensi refleksi tambahan</t>
        </is>
      </c>
      <c r="Z32" t="inlineStr">
        <is>
          <t>KODER 1 menandai teks lengkap. SPELLSMITH memanfaatkan augmentasi deskripsi alat dan refleksi mandiri LLM (GPT-4o) untuk memitigasi kerentanan taint-style pada alat MCP. Catatan deployment: prototipe internal/eksperimental (belum dirilis secara publik).</t>
        </is>
      </c>
      <c r="AA32" t="inlineStr">
        <is>
          <t>L1</t>
        </is>
      </c>
      <c r="AB32" t="inlineStr"/>
      <c r="AC32" t="inlineStr">
        <is>
          <t>include</t>
        </is>
      </c>
      <c r="AD32" t="inlineStr"/>
      <c r="AE32" t="inlineStr"/>
      <c r="AF32" t="inlineStr">
        <is>
          <t>Baseline (148-corpus)</t>
        </is>
      </c>
      <c r="AG32" t="inlineStr">
        <is>
          <t>L1</t>
        </is>
      </c>
      <c r="AH32" t="inlineStr">
        <is>
          <t>No</t>
        </is>
      </c>
    </row>
    <row r="33">
      <c r="A33" t="inlineStr">
        <is>
          <t>yiheng-2026-component-manipulation-system-compromise-understanding</t>
        </is>
      </c>
      <c r="B33" t="inlineStr">
        <is>
          <t>From Component Manipulation to System Compromise: Understanding and Detecting Malicious MCP Servers</t>
        </is>
      </c>
      <c r="C33" t="n">
        <v>2026</v>
      </c>
      <c r="D33" t="inlineStr">
        <is>
          <t>E2</t>
        </is>
      </c>
      <c r="E33" t="inlineStr">
        <is>
          <t>kandidat_agent</t>
        </is>
      </c>
      <c r="F33" t="inlineStr">
        <is>
          <t>primary</t>
        </is>
      </c>
      <c r="G33" t="inlineStr">
        <is>
          <t>https://arxiv.org/abs/2604.01905</t>
        </is>
      </c>
      <c r="H33" t="inlineStr">
        <is>
          <t>ya</t>
        </is>
      </c>
      <c r="I33" t="inlineStr">
        <is>
          <t>defense_primary</t>
        </is>
      </c>
      <c r="J33" t="inlineStr">
        <is>
          <t>Connor</t>
        </is>
      </c>
      <c r="K33" t="inlineStr">
        <is>
          <t>content_inspection_static</t>
        </is>
      </c>
      <c r="L33" t="inlineStr">
        <is>
          <t>Detektor deviasi perilaku dua tahap yang menggabungkan analisis statis konfigurasi/kode pre-eksekusi dengan pelacakan lintasan eksekusi dan penilai deviasi berbasis LLM untuk mendeteksi server MCP berbahaya.</t>
        </is>
      </c>
      <c r="M33" t="inlineStr">
        <is>
          <t>ya</t>
        </is>
      </c>
      <c r="N33" t="inlineStr">
        <is>
          <t>gateway_proxy</t>
        </is>
      </c>
      <c r="O33" t="inlineStr">
        <is>
          <t>R2;R7</t>
        </is>
      </c>
      <c r="P33" t="inlineStr">
        <is>
          <t>A1;A3;B3;D3</t>
        </is>
      </c>
      <c r="Q33" t="inlineStr">
        <is>
          <t>A1;A3;B3</t>
        </is>
      </c>
      <c r="R33" t="inlineStr">
        <is>
          <t>author_run</t>
        </is>
      </c>
      <c r="S33" t="inlineStr"/>
      <c r="T33" t="inlineStr">
        <is>
          <t>mixed</t>
        </is>
      </c>
      <c r="U33" t="inlineStr">
        <is>
          <t>tidak</t>
        </is>
      </c>
      <c r="V33" t="inlineStr"/>
      <c r="W33" t="inlineStr">
        <is>
          <t>Sec. 6, Tabel 7 &amp; 8, hal. 22-25</t>
        </is>
      </c>
      <c r="X33" t="inlineStr">
        <is>
          <t>prototype_open_source</t>
        </is>
      </c>
      <c r="Y33" t="inlineStr">
        <is>
          <t>F1-score 94.6% (mengungguli SOTA sebesar 8.9% - 59.6%), pre-execution latency 3.2s, in-execution tracing overhead</t>
        </is>
      </c>
      <c r="Z33" t="inlineStr">
        <is>
          <t>KODER 1 menandai teks lengkap. Connor mengombinasikan analisis statis pre-eksekusi (Joern/CPG) dan deteksi deviasi perilaku runtime dengan model LLM (GPT-5/Claude Sonnet 4). Repositori/artefak: https://github.com/yiheng98/Connor.</t>
        </is>
      </c>
      <c r="AA33" t="inlineStr">
        <is>
          <t>L1</t>
        </is>
      </c>
      <c r="AB33" t="inlineStr"/>
      <c r="AC33" t="inlineStr">
        <is>
          <t>include</t>
        </is>
      </c>
      <c r="AD33" t="inlineStr"/>
      <c r="AE33" t="inlineStr"/>
      <c r="AF33" t="inlineStr">
        <is>
          <t>Baseline (148-corpus)</t>
        </is>
      </c>
      <c r="AG33" t="inlineStr">
        <is>
          <t>L1</t>
        </is>
      </c>
      <c r="AH33" t="inlineStr">
        <is>
          <t>No</t>
        </is>
      </c>
    </row>
    <row r="34">
      <c r="A34" t="inlineStr">
        <is>
          <t>ying-2026-options-not-clicks-lattice-refinement</t>
        </is>
      </c>
      <c r="B34" t="inlineStr">
        <is>
          <t>Options, Not Clicks: Lattice Refinement for Consent-Driven MCP Authorization</t>
        </is>
      </c>
      <c r="C34" t="n">
        <v>2026</v>
      </c>
      <c r="D34" t="inlineStr">
        <is>
          <t>E2</t>
        </is>
      </c>
      <c r="E34" t="inlineStr">
        <is>
          <t>kandidat_agent</t>
        </is>
      </c>
      <c r="F34" t="inlineStr">
        <is>
          <t>primary</t>
        </is>
      </c>
      <c r="G34" t="inlineStr">
        <is>
          <t>https://arxiv.org/abs/2605.11360</t>
        </is>
      </c>
      <c r="H34" t="inlineStr">
        <is>
          <t>ya</t>
        </is>
      </c>
      <c r="I34" t="inlineStr">
        <is>
          <t>defense_primary</t>
        </is>
      </c>
      <c r="J34" t="inlineStr">
        <is>
          <t>ConLeash</t>
        </is>
      </c>
      <c r="K34" t="inlineStr">
        <is>
          <t>deterministic_policy</t>
        </is>
      </c>
      <c r="L34" t="inlineStr">
        <is>
          <t>Middleware persetujuan sisi klien berbasis neuro-simbolik yang menggunakan lattice containment dan Datalog deterministik untuk menegakkan otorisasi berlingkup batas dan menyaring eskalasi izin MCP.</t>
        </is>
      </c>
      <c r="M34" t="inlineStr">
        <is>
          <t>tidak</t>
        </is>
      </c>
      <c r="N34" t="inlineStr">
        <is>
          <t>C</t>
        </is>
      </c>
      <c r="O34" t="inlineStr">
        <is>
          <t>R1;R2;R3</t>
        </is>
      </c>
      <c r="P34" t="inlineStr">
        <is>
          <t>C1;A2;B2</t>
        </is>
      </c>
      <c r="Q34" t="inlineStr">
        <is>
          <t>C1;A2</t>
        </is>
      </c>
      <c r="R34" t="inlineStr">
        <is>
          <t>author_run</t>
        </is>
      </c>
      <c r="S34" t="inlineStr"/>
      <c r="T34" t="inlineStr">
        <is>
          <t>third_party_public</t>
        </is>
      </c>
      <c r="U34" t="inlineStr">
        <is>
          <t>tidak</t>
        </is>
      </c>
      <c r="V34" t="inlineStr"/>
      <c r="W34" t="inlineStr">
        <is>
          <t>Sec. 8, Tabel 2 &amp; 3, hal. 11-14</t>
        </is>
      </c>
      <c r="X34" t="inlineStr">
        <is>
          <t>none</t>
        </is>
      </c>
      <c r="Y34" t="inlineStr">
        <is>
          <t>8.2 ms reasoning overhead per step; F1 98.7%; menangkap 99.4% eskalasi izin; user study N=16</t>
        </is>
      </c>
      <c r="Z34" t="inlineStr">
        <is>
          <t>KODER 1 menandai teks lengkap. ConLeash adalah middleware neuro-simbolik; LLM hanya sebagai penerjemah fakta, sedangkan keputusan otorisasi lattice containment sepenuhnya deterministik via Datalog. Catatan deployment: prototipe internal/eksperimental (belum dirilis secara publik).</t>
        </is>
      </c>
      <c r="AA34" t="inlineStr">
        <is>
          <t>L1</t>
        </is>
      </c>
      <c r="AB34" t="inlineStr"/>
      <c r="AC34" t="inlineStr">
        <is>
          <t>include</t>
        </is>
      </c>
      <c r="AD34" t="inlineStr"/>
      <c r="AE34" t="inlineStr"/>
      <c r="AF34" t="inlineStr">
        <is>
          <t>Baseline (148-corpus)</t>
        </is>
      </c>
      <c r="AG34" t="inlineStr">
        <is>
          <t>L1</t>
        </is>
      </c>
      <c r="AH34" t="inlineStr">
        <is>
          <t>No</t>
        </is>
      </c>
    </row>
    <row r="35">
      <c r="A35" t="inlineStr">
        <is>
          <t>zehua-2026-no-box-vulnerability-analysis-description</t>
        </is>
      </c>
      <c r="B35" t="inlineStr">
        <is>
          <t>No-Box Vulnerability Analysis: Description-only Detection of Indirect Prompt Injection Vulnerabilities in MCP Servers</t>
        </is>
      </c>
      <c r="C35" t="n">
        <v>2026</v>
      </c>
      <c r="D35" t="inlineStr">
        <is>
          <t>E2</t>
        </is>
      </c>
      <c r="E35" t="inlineStr">
        <is>
          <t>kandidat_agent</t>
        </is>
      </c>
      <c r="F35" t="inlineStr">
        <is>
          <t>primary</t>
        </is>
      </c>
      <c r="G35" t="inlineStr">
        <is>
          <t>https://arxiv.org/abs/2609.10854</t>
        </is>
      </c>
      <c r="H35" t="inlineStr">
        <is>
          <t>ya</t>
        </is>
      </c>
      <c r="I35" t="inlineStr">
        <is>
          <t>defense_primary</t>
        </is>
      </c>
      <c r="J35" t="inlineStr">
        <is>
          <t>MCPSEC</t>
        </is>
      </c>
      <c r="K35" t="inlineStr">
        <is>
          <t>content_inspection_static</t>
        </is>
      </c>
      <c r="L35" t="inlineStr">
        <is>
          <t>Pipeline analisis kerentanan no-box yang mengaudit metadata registrasi server MCP untuk mendeteksi potensi aliran data dan kerentanan indirect prompt injection tanpa akses source code atau runtime.</t>
        </is>
      </c>
      <c r="M35" t="inlineStr">
        <is>
          <t>ya</t>
        </is>
      </c>
      <c r="N35" t="inlineStr">
        <is>
          <t>offline_analysis</t>
        </is>
      </c>
      <c r="O35" t="inlineStr">
        <is>
          <t>R7</t>
        </is>
      </c>
      <c r="P35" t="inlineStr">
        <is>
          <t>B2</t>
        </is>
      </c>
      <c r="Q35" t="inlineStr">
        <is>
          <t>B2</t>
        </is>
      </c>
      <c r="R35" t="inlineStr">
        <is>
          <t>author_run</t>
        </is>
      </c>
      <c r="S35" t="inlineStr"/>
      <c r="T35" t="inlineStr">
        <is>
          <t>mixed</t>
        </is>
      </c>
      <c r="U35" t="inlineStr">
        <is>
          <t>tidak</t>
        </is>
      </c>
      <c r="V35" t="inlineStr"/>
      <c r="W35" t="inlineStr">
        <is>
          <t>Sec. VII, Tabel II, hal. 7-10</t>
        </is>
      </c>
      <c r="X35" t="inlineStr">
        <is>
          <t>none</t>
        </is>
      </c>
      <c r="Y35" t="inlineStr">
        <is>
          <t>98.9% recall (94 dari 95 vulnerable tools terdeteksi) vs baseline LLM 84.2%; runtime metadata analysis</t>
        </is>
      </c>
      <c r="Z35" t="inlineStr">
        <is>
          <t>KODER 1 menandai teks lengkap. MCPSEC adalah sistem analisis kerentanan no-box berbasis metadata alat untuk mendeteksi indirect prompt injection (B2) sebelum deployment. Catatan deployment: prototipe internal/eksperimental (belum dirilis secara publik).</t>
        </is>
      </c>
      <c r="AA35" t="inlineStr">
        <is>
          <t>L1</t>
        </is>
      </c>
      <c r="AB35" t="inlineStr"/>
      <c r="AC35" t="inlineStr">
        <is>
          <t>include</t>
        </is>
      </c>
      <c r="AD35" t="inlineStr"/>
      <c r="AE35" t="inlineStr"/>
      <c r="AF35" t="inlineStr">
        <is>
          <t>Baseline (148-corpus)</t>
        </is>
      </c>
      <c r="AG35" t="inlineStr">
        <is>
          <t>L1</t>
        </is>
      </c>
      <c r="AH35" t="inlineStr">
        <is>
          <t>No</t>
        </is>
      </c>
    </row>
    <row r="36">
      <c r="A36" t="inlineStr">
        <is>
          <t>zhenhong-2026-mcpshield-security-cognition-layer-adaptive</t>
        </is>
      </c>
      <c r="B36" t="inlineStr">
        <is>
          <t>MCPShield: A Security Cognition Layer for Adaptive Trust Calibration in Model Context Protocol Agents</t>
        </is>
      </c>
      <c r="C36" t="n">
        <v>2026</v>
      </c>
      <c r="D36" t="inlineStr">
        <is>
          <t>E2</t>
        </is>
      </c>
      <c r="E36" t="inlineStr">
        <is>
          <t>kandidat_agent</t>
        </is>
      </c>
      <c r="F36" t="inlineStr">
        <is>
          <t>primary</t>
        </is>
      </c>
      <c r="G36" t="inlineStr">
        <is>
          <t>https://arxiv.org/abs/2602.14281</t>
        </is>
      </c>
      <c r="H36" t="inlineStr">
        <is>
          <t>ya</t>
        </is>
      </c>
      <c r="I36" t="inlineStr">
        <is>
          <t>defense_primary</t>
        </is>
      </c>
      <c r="J36" t="inlineStr">
        <is>
          <t>MCPShield</t>
        </is>
      </c>
      <c r="K36" t="inlineStr">
        <is>
          <t>content_inspection_static</t>
        </is>
      </c>
      <c r="L36" t="inlineStr">
        <is>
          <t>Lapisan kognisi keamanan plug-in yang menggabungkan probing kognitif pra-invokasi, proyeksi terisolasi saat eksekusi, dan penalaran periodik pasca-invokasi untuk mengalibrasi kepercayaan agen MCP.</t>
        </is>
      </c>
      <c r="M36" t="inlineStr">
        <is>
          <t>ya</t>
        </is>
      </c>
      <c r="N36" t="inlineStr">
        <is>
          <t>gateway_proxy</t>
        </is>
      </c>
      <c r="O36" t="inlineStr">
        <is>
          <t>R2;R7</t>
        </is>
      </c>
      <c r="P36" t="inlineStr">
        <is>
          <t>A1;A3;B1;B2;D3</t>
        </is>
      </c>
      <c r="Q36" t="inlineStr">
        <is>
          <t>A1;A3;B1;B2;D3</t>
        </is>
      </c>
      <c r="R36" t="inlineStr">
        <is>
          <t>author_run</t>
        </is>
      </c>
      <c r="S36" t="inlineStr"/>
      <c r="T36" t="inlineStr">
        <is>
          <t>mixed</t>
        </is>
      </c>
      <c r="U36" t="inlineStr">
        <is>
          <t>tidak</t>
        </is>
      </c>
      <c r="V36" t="inlineStr"/>
      <c r="W36" t="inlineStr">
        <is>
          <t>Sec. 5, Tabel 1, 2, 3, hal. 7-8</t>
        </is>
      </c>
      <c r="X36" t="inlineStr">
        <is>
          <t>none</t>
        </is>
      </c>
      <c r="Y36" t="inlineStr">
        <is>
          <t>Tingkat pertahanan rata-rata 95.30% vs 10.05% baseline; false positive deny rate rendah (Tabel 2); runtime dan token overhead (Gbr 3 &amp; 4)</t>
        </is>
      </c>
      <c r="Z36" t="inlineStr">
        <is>
          <t>KODER 1 menandai teks lengkap. Mengevaluasi 6 suite serangan termasuk Adaptive Attack (Zhan et al., 2025) yang merupakan benchmark tetap pihak ketiga yang dirancang terhadap pertahanan lain, bukan serangan yang disetel terhadap MCPShield (adaptif=tidak, sesuai Pedoman 7.3). Catatan deployment: prototipe internal/eksperimental (belum dirilis secara publik).</t>
        </is>
      </c>
      <c r="AA36" t="inlineStr">
        <is>
          <t>L1</t>
        </is>
      </c>
      <c r="AB36" t="inlineStr"/>
      <c r="AC36" t="inlineStr">
        <is>
          <t>include</t>
        </is>
      </c>
      <c r="AD36" t="inlineStr"/>
      <c r="AE36" t="inlineStr"/>
      <c r="AF36" t="inlineStr">
        <is>
          <t>Baseline (148-corpus)</t>
        </is>
      </c>
      <c r="AG36" t="inlineStr">
        <is>
          <t>L1</t>
        </is>
      </c>
      <c r="AH36" t="inlineStr">
        <is>
          <t>No</t>
        </is>
      </c>
    </row>
    <row r="37">
      <c r="A37" t="inlineStr">
        <is>
          <t>zhiqiang-2025-mindguard-intrinsic-decision-inspection-securing</t>
        </is>
      </c>
      <c r="B37" t="inlineStr">
        <is>
          <t>MindGuard: Intrinsic Decision Inspection for Securing LLM Agents Against Metadata Poisoning</t>
        </is>
      </c>
      <c r="C37" t="n">
        <v>2025</v>
      </c>
      <c r="D37" t="inlineStr">
        <is>
          <t>E2</t>
        </is>
      </c>
      <c r="E37" t="inlineStr">
        <is>
          <t>kandidat_agent</t>
        </is>
      </c>
      <c r="F37" t="inlineStr">
        <is>
          <t>primary</t>
        </is>
      </c>
      <c r="G37" t="inlineStr">
        <is>
          <t>https://arxiv.org/abs/2508.20412</t>
        </is>
      </c>
      <c r="H37" t="inlineStr">
        <is>
          <t>ya</t>
        </is>
      </c>
      <c r="I37" t="inlineStr">
        <is>
          <t>defense_primary</t>
        </is>
      </c>
      <c r="J37" t="inlineStr">
        <is>
          <t>MindGuard</t>
        </is>
      </c>
      <c r="K37" t="inlineStr">
        <is>
          <t>content_inspection_runtime</t>
        </is>
      </c>
      <c r="L37" t="inlineStr">
        <is>
          <t>Plugin inspeksi keputusan intrinsik yang menganalisis matriks aktivasi perhatian (DDG &amp; Total Attention Energy) pada LLM host untuk mendeteksi metadata poisoning tanpa model eksternal.</t>
        </is>
      </c>
      <c r="M37" t="inlineStr">
        <is>
          <t>ya</t>
        </is>
      </c>
      <c r="N37" t="inlineStr">
        <is>
          <t>C</t>
        </is>
      </c>
      <c r="O37" t="inlineStr">
        <is>
          <t>R2;R3</t>
        </is>
      </c>
      <c r="P37" t="inlineStr">
        <is>
          <t>A1;B3;B1</t>
        </is>
      </c>
      <c r="Q37" t="inlineStr">
        <is>
          <t>A1</t>
        </is>
      </c>
      <c r="R37" t="inlineStr">
        <is>
          <t>author_run</t>
        </is>
      </c>
      <c r="S37" t="inlineStr"/>
      <c r="T37" t="inlineStr">
        <is>
          <t>mixed</t>
        </is>
      </c>
      <c r="U37" t="inlineStr">
        <is>
          <t>ya</t>
        </is>
      </c>
      <c r="V37" t="inlineStr">
        <is>
          <t>Attacker crafts a subtle payload to alter LLM's decision without a detectable attention activation.</t>
        </is>
      </c>
      <c r="W37" t="inlineStr">
        <is>
          <t>Sec. 6.5; Fig. 8b; hal. 11</t>
        </is>
      </c>
      <c r="X37" t="inlineStr">
        <is>
          <t>none</t>
        </is>
      </c>
      <c r="Y37" t="inlineStr">
        <is>
          <t>Average Precision &gt; 97.6%, akurasi atribusi &gt; 98.6%, hemat 1,000+ token per invokasi, subsecond runtime cost</t>
        </is>
      </c>
      <c r="Z37" t="inlineStr">
        <is>
          <t>MindGuard mengekstraksi matriks atensi runtime LLM (TAE). Serangan adaptif Attention Minimization (Sec. 6.5, Fig. 8b). C4 ditolak. Catatan deployment: prototipe internal/eksperimental (belum dirilis secara publik).</t>
        </is>
      </c>
      <c r="AA37" t="inlineStr">
        <is>
          <t>L1</t>
        </is>
      </c>
      <c r="AB37" t="inlineStr"/>
      <c r="AC37" t="inlineStr">
        <is>
          <t>include</t>
        </is>
      </c>
      <c r="AD37" t="inlineStr"/>
      <c r="AE37" t="inlineStr"/>
      <c r="AF37" t="inlineStr">
        <is>
          <t>Baseline (148-corpus)</t>
        </is>
      </c>
      <c r="AG37" t="inlineStr">
        <is>
          <t>L1</t>
        </is>
      </c>
      <c r="AH37" t="inlineStr">
        <is>
          <t>Yes</t>
        </is>
      </c>
    </row>
    <row r="38">
      <c r="A38" t="inlineStr">
        <is>
          <t>zhiyang-2026-acle-mcp-attested-capability-leases</t>
        </is>
      </c>
      <c r="B38" t="inlineStr">
        <is>
          <t>ACLE-MCP: Attested Capability Leases for Execution-Time Trust in Remote LLM Tool Use</t>
        </is>
      </c>
      <c r="C38" t="n">
        <v>2026</v>
      </c>
      <c r="D38" t="inlineStr">
        <is>
          <t>E2</t>
        </is>
      </c>
      <c r="E38" t="inlineStr">
        <is>
          <t>kandidat_agent</t>
        </is>
      </c>
      <c r="F38" t="inlineStr">
        <is>
          <t>primary</t>
        </is>
      </c>
      <c r="G38" t="inlineStr">
        <is>
          <t>https://arxiv.org/abs/2609.02690</t>
        </is>
      </c>
      <c r="H38" t="inlineStr">
        <is>
          <t>ya</t>
        </is>
      </c>
      <c r="I38" t="inlineStr">
        <is>
          <t>defense_primary</t>
        </is>
      </c>
      <c r="J38" t="inlineStr">
        <is>
          <t>ACLE-MCP</t>
        </is>
      </c>
      <c r="K38" t="inlineStr">
        <is>
          <t>protocol_provision</t>
        </is>
      </c>
      <c r="L38" t="inlineStr">
        <is>
          <t>Arsitektur capability lease berlingkup invokasi dengan atestasi vTPM dan Execution Gate pada sisi penyedia alat untuk memvalidasi beban kerja dan memitigasi celah kepercayaan pasca-otorisasi remote MCP.</t>
        </is>
      </c>
      <c r="M38" t="inlineStr">
        <is>
          <t>tidak</t>
        </is>
      </c>
      <c r="N38" t="inlineStr">
        <is>
          <t>S</t>
        </is>
      </c>
      <c r="O38" t="inlineStr">
        <is>
          <t>R2;R3</t>
        </is>
      </c>
      <c r="P38" t="inlineStr">
        <is>
          <t>A3;C1;C3;D3</t>
        </is>
      </c>
      <c r="Q38" t="inlineStr">
        <is>
          <t>A3;C1;C3;D3</t>
        </is>
      </c>
      <c r="R38" t="inlineStr">
        <is>
          <t>author_run</t>
        </is>
      </c>
      <c r="S38" t="inlineStr"/>
      <c r="T38" t="inlineStr">
        <is>
          <t>authors_own</t>
        </is>
      </c>
      <c r="U38" t="inlineStr">
        <is>
          <t>tidak</t>
        </is>
      </c>
      <c r="V38" t="inlineStr"/>
      <c r="W38" t="inlineStr">
        <is>
          <t>Sec. Evaluation, Tabel 1 &amp; Gbr 3, hal. 6-8</t>
        </is>
      </c>
      <c r="X38" t="inlineStr">
        <is>
          <t>none</t>
        </is>
      </c>
      <c r="Y38" t="inlineStr">
        <is>
          <t>P95 latency overhead 25.7% (normal allowed calls) vs OAuth-only; memblokir 100% keluarga serangan yang dievaluasi</t>
        </is>
      </c>
      <c r="Z38" t="inlineStr">
        <is>
          <t>KODER 1 menandai teks lengkap. Arsitektur capability lease berlingkup invokasi dengan atestasi vTPM dan Execution Gate pada sisi server MCP untuk menutup celah post-authorization trust gap. Catatan deployment: prototipe internal/eksperimental (belum dirilis secara publik).</t>
        </is>
      </c>
      <c r="AA38" t="inlineStr">
        <is>
          <t>L1</t>
        </is>
      </c>
      <c r="AB38" t="inlineStr"/>
      <c r="AC38" t="inlineStr">
        <is>
          <t>include</t>
        </is>
      </c>
      <c r="AD38" t="inlineStr"/>
      <c r="AE38" t="inlineStr"/>
      <c r="AF38" t="inlineStr">
        <is>
          <t>Baseline (148-corpus)</t>
        </is>
      </c>
      <c r="AG38" t="inlineStr">
        <is>
          <t>L1</t>
        </is>
      </c>
      <c r="AH38" t="inlineStr">
        <is>
          <t>No</t>
        </is>
      </c>
    </row>
    <row r="39">
      <c r="A39" t="inlineStr">
        <is>
          <t>zhonghao-2025-aegismcp-online-graph-intrusion-detection</t>
        </is>
      </c>
      <c r="B39" t="inlineStr">
        <is>
          <t>AegisMCP: Online Graph Intrusion Detection for Tool-Augmented LLMs on Edge Devices</t>
        </is>
      </c>
      <c r="C39" t="n">
        <v>2025</v>
      </c>
      <c r="D39" t="inlineStr">
        <is>
          <t>E2</t>
        </is>
      </c>
      <c r="E39" t="inlineStr">
        <is>
          <t>kandidat_agent</t>
        </is>
      </c>
      <c r="F39" t="inlineStr">
        <is>
          <t>primary</t>
        </is>
      </c>
      <c r="G39" t="inlineStr">
        <is>
          <t>https://arxiv.org/abs/2510.19462</t>
        </is>
      </c>
      <c r="H39" t="inlineStr">
        <is>
          <t>ya</t>
        </is>
      </c>
      <c r="I39" t="inlineStr">
        <is>
          <t>defense_primary</t>
        </is>
      </c>
      <c r="J39" t="inlineStr">
        <is>
          <t>AegisMCP</t>
        </is>
      </c>
      <c r="K39" t="inlineStr">
        <is>
          <t>content_inspection_runtime</t>
        </is>
      </c>
      <c r="L39" t="inlineStr">
        <is>
          <t>Sistem deteksi intrusi tingkat protokol berbasis graf temporal heterogen (NEBULA-Schema) yang mendeteksi anomali perilaku dan chaining alat MCP secara near-real-time pada perangkat edge.</t>
        </is>
      </c>
      <c r="M39" t="inlineStr">
        <is>
          <t>tidak</t>
        </is>
      </c>
      <c r="N39" t="inlineStr">
        <is>
          <t>gateway_proxy</t>
        </is>
      </c>
      <c r="O39" t="inlineStr">
        <is>
          <t>R2;R7</t>
        </is>
      </c>
      <c r="P39" t="inlineStr">
        <is>
          <t>A2;A3;B1;D3</t>
        </is>
      </c>
      <c r="Q39" t="inlineStr">
        <is>
          <t>A2;A3;D3</t>
        </is>
      </c>
      <c r="R39" t="inlineStr">
        <is>
          <t>author_run</t>
        </is>
      </c>
      <c r="S39" t="inlineStr"/>
      <c r="T39" t="inlineStr">
        <is>
          <t>authors_own</t>
        </is>
      </c>
      <c r="U39" t="inlineStr">
        <is>
          <t>tidak</t>
        </is>
      </c>
      <c r="V39" t="inlineStr"/>
      <c r="W39" t="inlineStr">
        <is>
          <t>Sec. VI, Tabel II, Gambar 4, hal. 7-10</t>
        </is>
      </c>
      <c r="X39" t="inlineStr">
        <is>
          <t>none</t>
        </is>
      </c>
      <c r="Y39" t="inlineStr">
        <is>
          <t>Sub-second latency (inferensi per jendela &lt; 1s pada Intel N150-class CPU edge hardware); F1 &gt; 0.92</t>
        </is>
      </c>
      <c r="Z39" t="inlineStr">
        <is>
          <t>KODER 1 menandai teks lengkap. Detektor intrusi streaming berbasis representasi graf temporal (NEBULA-Schema) berjalan di CPU edge tanpa LLM. Evasion dianalisis secara kualitatif di Sec. C. Catatan deployment: prototipe internal/eksperimental (belum dirilis secara publik).</t>
        </is>
      </c>
      <c r="AA39" t="inlineStr">
        <is>
          <t>L1</t>
        </is>
      </c>
      <c r="AB39" t="inlineStr"/>
      <c r="AC39" t="inlineStr">
        <is>
          <t>include</t>
        </is>
      </c>
      <c r="AD39" t="inlineStr"/>
      <c r="AE39" t="inlineStr"/>
      <c r="AF39" t="inlineStr">
        <is>
          <t>Baseline (148-corpus)</t>
        </is>
      </c>
      <c r="AG39" t="inlineStr">
        <is>
          <t>L1</t>
        </is>
      </c>
      <c r="AH39" t="inlineStr">
        <is>
          <t>No</t>
        </is>
      </c>
    </row>
    <row r="40">
      <c r="A40" t="inlineStr">
        <is>
          <t>zhuoran-2026-mcp-sandboxscan-wasm-based-secure</t>
        </is>
      </c>
      <c r="B40" t="inlineStr">
        <is>
          <t>MCP-SandboxScan: WASM-based Secure Execution and Runtime Analysis for MCP Tools</t>
        </is>
      </c>
      <c r="C40" t="n">
        <v>2026</v>
      </c>
      <c r="D40" t="inlineStr">
        <is>
          <t>E2</t>
        </is>
      </c>
      <c r="E40" t="inlineStr">
        <is>
          <t>kandidat_agent</t>
        </is>
      </c>
      <c r="F40" t="inlineStr">
        <is>
          <t>primary</t>
        </is>
      </c>
      <c r="G40" t="inlineStr">
        <is>
          <t>https://arxiv.org/abs/2601.01241</t>
        </is>
      </c>
      <c r="H40" t="inlineStr">
        <is>
          <t>ya</t>
        </is>
      </c>
      <c r="I40" t="inlineStr">
        <is>
          <t>defense_primary</t>
        </is>
      </c>
      <c r="J40" t="inlineStr">
        <is>
          <t>MCP-SandboxScan (SandScope)</t>
        </is>
      </c>
      <c r="K40" t="inlineStr">
        <is>
          <t>isolation_containment</t>
        </is>
      </c>
      <c r="L40" t="inlineStr">
        <is>
          <t>Kerangka kerja audit dan sandboxing berbasis WASM/WASI yang mengisolasi eksekusi alat MCP dan mendeteksi runtime witness kebocoran data sumber-ke-muara (canary) pada output protokol.</t>
        </is>
      </c>
      <c r="M40" t="inlineStr">
        <is>
          <t>tidak</t>
        </is>
      </c>
      <c r="N40" t="inlineStr">
        <is>
          <t>gateway_proxy</t>
        </is>
      </c>
      <c r="O40" t="inlineStr">
        <is>
          <t>R2;R5;R6</t>
        </is>
      </c>
      <c r="P40" t="inlineStr">
        <is>
          <t>A2;D1;D3</t>
        </is>
      </c>
      <c r="Q40" t="inlineStr">
        <is>
          <t>A2;D1</t>
        </is>
      </c>
      <c r="R40" t="inlineStr">
        <is>
          <t>author_run</t>
        </is>
      </c>
      <c r="S40" t="inlineStr"/>
      <c r="T40" t="inlineStr">
        <is>
          <t>mixed</t>
        </is>
      </c>
      <c r="U40" t="inlineStr">
        <is>
          <t>tidak</t>
        </is>
      </c>
      <c r="V40" t="inlineStr"/>
      <c r="W40" t="inlineStr">
        <is>
          <t>Sec. 4, Tabel 1 &amp; 2, hal. 7-10</t>
        </is>
      </c>
      <c r="X40" t="inlineStr">
        <is>
          <t>none</t>
        </is>
      </c>
      <c r="Y40" t="inlineStr">
        <is>
          <t>Shallow dynamic scan 35 repo, latensi scan ~detik, deteksi kebocoran canary akurat</t>
        </is>
      </c>
      <c r="Z40" t="inlineStr">
        <is>
          <t>KODER 1 menandai teks lengkap. SandScope menggabungkan sandboxing WASM/WASI dengan deteksi saksi aliran data (canary) dan profiling semantik tools/list. Pengujian transformasi mencakup ROT13, hex, base64. Catatan deployment: prototipe internal/eksperimental (belum dirilis secara publik).</t>
        </is>
      </c>
      <c r="AA40" t="inlineStr">
        <is>
          <t>L1</t>
        </is>
      </c>
      <c r="AB40" t="inlineStr"/>
      <c r="AC40" t="inlineStr">
        <is>
          <t>include</t>
        </is>
      </c>
      <c r="AD40" t="inlineStr"/>
      <c r="AE40" t="inlineStr"/>
      <c r="AF40" t="inlineStr">
        <is>
          <t>Baseline (148-corpus)</t>
        </is>
      </c>
      <c r="AG40" t="inlineStr">
        <is>
          <t>L1</t>
        </is>
      </c>
      <c r="AH40" t="inlineStr">
        <is>
          <t>No</t>
        </is>
      </c>
    </row>
    <row r="41">
      <c r="A41" t="inlineStr">
        <is>
          <t>grigoris-2025-securing-mcp-based-agent-workflows</t>
        </is>
      </c>
      <c r="B41" t="inlineStr">
        <is>
          <t>Securing MCP-based Agent Workflows</t>
        </is>
      </c>
      <c r="C41" t="n">
        <v>2025</v>
      </c>
      <c r="D41" t="inlineStr">
        <is>
          <t>E1</t>
        </is>
      </c>
      <c r="E41" t="inlineStr">
        <is>
          <t>kandidat_agent</t>
        </is>
      </c>
      <c r="F41" t="inlineStr">
        <is>
          <t>proposal_only</t>
        </is>
      </c>
      <c r="G41" t="inlineStr">
        <is>
          <t>https://doi.org/10.1145/3766882.3767177</t>
        </is>
      </c>
      <c r="H41" t="inlineStr">
        <is>
          <t>ya</t>
        </is>
      </c>
      <c r="I41" t="inlineStr">
        <is>
          <t>defense_primary</t>
        </is>
      </c>
      <c r="J41" t="inlineStr">
        <is>
          <t>SAMOS</t>
        </is>
      </c>
      <c r="K41" t="inlineStr">
        <is>
          <t>deterministic_policy</t>
        </is>
      </c>
      <c r="L41" t="inlineStr">
        <is>
          <t>Sistem Information Flow Control (IFC) tingkat gateway MCP yang menegakkan kebijakan keamanan berbasis label kerahasiaan read/write dan anotasi kapabilitas tool.</t>
        </is>
      </c>
      <c r="M41" t="inlineStr">
        <is>
          <t>tidak</t>
        </is>
      </c>
      <c r="N41" t="inlineStr">
        <is>
          <t>gateway_proxy</t>
        </is>
      </c>
      <c r="O41" t="inlineStr">
        <is>
          <t>R2;R3;R5</t>
        </is>
      </c>
      <c r="P41" t="inlineStr">
        <is>
          <t>A2;D1;D2</t>
        </is>
      </c>
      <c r="Q41" t="inlineStr">
        <is>
          <t>A2;D1;D2</t>
        </is>
      </c>
      <c r="R41" t="inlineStr">
        <is>
          <t>author_run</t>
        </is>
      </c>
      <c r="S41" t="inlineStr"/>
      <c r="T41" t="inlineStr">
        <is>
          <t>authors_own</t>
        </is>
      </c>
      <c r="U41" t="inlineStr">
        <is>
          <t>tidak</t>
        </is>
      </c>
      <c r="V41" t="inlineStr"/>
      <c r="W41" t="inlineStr">
        <is>
          <t>Sec. 3-4, Tabel 1, hal. 3-5</t>
        </is>
      </c>
      <c r="X41" t="inlineStr">
        <is>
          <t>none</t>
        </is>
      </c>
      <c r="Y41" t="inlineStr">
        <is>
          <t>not_reported</t>
        </is>
      </c>
      <c r="Z41" t="inlineStr">
        <is>
          <t>Teks lengkap tersedia di papers/acm. Validasi studi kasus nyata pencegahan kebocoran repositori privat GitHub MCP server di Claude Desktop.</t>
        </is>
      </c>
      <c r="AA41" t="inlineStr">
        <is>
          <t>L1</t>
        </is>
      </c>
      <c r="AB41" t="inlineStr"/>
      <c r="AC41" t="inlineStr">
        <is>
          <t>include</t>
        </is>
      </c>
      <c r="AD41" t="inlineStr"/>
      <c r="AE41" t="inlineStr"/>
      <c r="AF41" t="inlineStr">
        <is>
          <t>Baseline (148-corpus)</t>
        </is>
      </c>
      <c r="AG41" t="inlineStr">
        <is>
          <t>L1</t>
        </is>
      </c>
      <c r="AH41" t="inlineStr">
        <is>
          <t>No</t>
        </is>
      </c>
    </row>
    <row r="42">
      <c r="A42" t="inlineStr">
        <is>
          <t>herman-2025-securing-model-context-protocol-mcp</t>
        </is>
      </c>
      <c r="B42" t="inlineStr">
        <is>
          <t>Securing the Model Context Protocol (MCP): Risks, Controls, and Governance</t>
        </is>
      </c>
      <c r="C42" t="n">
        <v>2025</v>
      </c>
      <c r="D42" t="inlineStr">
        <is>
          <t>E2</t>
        </is>
      </c>
      <c r="E42" t="inlineStr">
        <is>
          <t>kandidat_agent</t>
        </is>
      </c>
      <c r="F42" t="inlineStr">
        <is>
          <t>proposal_only</t>
        </is>
      </c>
      <c r="G42" t="inlineStr">
        <is>
          <t>https://arxiv.org/abs/2511.20920</t>
        </is>
      </c>
      <c r="H42" t="inlineStr">
        <is>
          <t>ya</t>
        </is>
      </c>
      <c r="I42" t="inlineStr">
        <is>
          <t>proposal_only</t>
        </is>
      </c>
      <c r="J42" t="inlineStr">
        <is>
          <t>MCP Defense-in-Depth Control Framework</t>
        </is>
      </c>
      <c r="K42" t="inlineStr">
        <is>
          <t>deterministic_policy</t>
        </is>
      </c>
      <c r="L42" t="inlineStr">
        <is>
          <t>Kerangka kerja kontrol pertahanan berlapis dan arsitektur gateway yang menerapkan autentikasi granular, pelacakan provenansi, sandboxing kontainer, dan penegakan kebijakan inline DLP untuk MCP enterprise.</t>
        </is>
      </c>
      <c r="M42" t="inlineStr">
        <is>
          <t>tidak</t>
        </is>
      </c>
      <c r="N42" t="inlineStr">
        <is>
          <t>gateway_proxy</t>
        </is>
      </c>
      <c r="O42" t="inlineStr">
        <is>
          <t>R1;R2;R4;R5;R6;R7</t>
        </is>
      </c>
      <c r="P42" t="inlineStr">
        <is>
          <t>A1;A2;A3;B1;B2;C3;D3</t>
        </is>
      </c>
      <c r="Q42" t="inlineStr"/>
      <c r="R42" t="inlineStr">
        <is>
          <t>none</t>
        </is>
      </c>
      <c r="S42" t="inlineStr"/>
      <c r="T42" t="inlineStr">
        <is>
          <t>none</t>
        </is>
      </c>
      <c r="U42" t="inlineStr">
        <is>
          <t>n/a_tanpa_evaluasi</t>
        </is>
      </c>
      <c r="V42" t="inlineStr"/>
      <c r="W42" t="inlineStr">
        <is>
          <t>Sec. 4 &amp; 5, hal. 8-15</t>
        </is>
      </c>
      <c r="X42" t="inlineStr">
        <is>
          <t>none</t>
        </is>
      </c>
      <c r="Y42" t="inlineStr">
        <is>
          <t>not_reported</t>
        </is>
      </c>
      <c r="Z42" t="inlineStr">
        <is>
          <t>Makalah usulan kontrol pertahanan berlapis (Vanta &amp; MintMCP) tanpa pengujian empiris kuantitatif terhadap dataset serangan. Penulis menyatakan tidak menyajikan tolok ukur biaya penegakan. KODER 1 menandai teks lengkap.</t>
        </is>
      </c>
      <c r="AA42" t="inlineStr">
        <is>
          <t>L0</t>
        </is>
      </c>
      <c r="AB42" t="inlineStr"/>
      <c r="AC42" t="inlineStr">
        <is>
          <t>include</t>
        </is>
      </c>
      <c r="AD42" t="inlineStr"/>
      <c r="AE42" t="inlineStr"/>
      <c r="AF42" t="inlineStr">
        <is>
          <t>Baseline (148-corpus)</t>
        </is>
      </c>
      <c r="AG42" t="inlineStr">
        <is>
          <t>L0</t>
        </is>
      </c>
      <c r="AH42" t="inlineStr">
        <is>
          <t>N/A</t>
        </is>
      </c>
    </row>
    <row r="43">
      <c r="A43" t="inlineStr">
        <is>
          <t>jaehyun-2025-preserving-onem2m-security-semantics-llm</t>
        </is>
      </c>
      <c r="B43" t="inlineStr">
        <is>
          <t>Preserving oneM2M Security Semantics in LLM-IoT Integration with Model Context Protocol</t>
        </is>
      </c>
      <c r="C43" t="n">
        <v>2025</v>
      </c>
      <c r="D43" t="inlineStr">
        <is>
          <t>E1</t>
        </is>
      </c>
      <c r="E43" t="inlineStr">
        <is>
          <t>kandidat_agent</t>
        </is>
      </c>
      <c r="F43" t="inlineStr">
        <is>
          <t>proposal_only</t>
        </is>
      </c>
      <c r="G43" t="inlineStr">
        <is>
          <t>https://doi.org/10.1109/AIoT66900.2025.00032</t>
        </is>
      </c>
      <c r="H43" t="inlineStr">
        <is>
          <t>ya</t>
        </is>
      </c>
      <c r="I43" t="inlineStr">
        <is>
          <t>defense_primary</t>
        </is>
      </c>
      <c r="J43" t="inlineStr">
        <is>
          <t>MCP-IPE (MCP Interworking Proxy Entity)</t>
        </is>
      </c>
      <c r="K43" t="inlineStr">
        <is>
          <t>deterministic_policy</t>
        </is>
      </c>
      <c r="L43" t="inlineStr">
        <is>
          <t>Proxy interworking yang memvalidasi Personal Access Token (PAT) agen, mengikat AE-ID, dan menegakkan kebijakan kontrol akses (ACP) oneM2M deny-by-default.</t>
        </is>
      </c>
      <c r="M43" t="inlineStr">
        <is>
          <t>tidak</t>
        </is>
      </c>
      <c r="N43" t="inlineStr">
        <is>
          <t>gateway_proxy</t>
        </is>
      </c>
      <c r="O43" t="inlineStr">
        <is>
          <t>R1;R2;R3;R5</t>
        </is>
      </c>
      <c r="P43" t="inlineStr">
        <is>
          <t>C1;C3;OUT_OF_TAXONOMY:resource_abuse</t>
        </is>
      </c>
      <c r="Q43" t="inlineStr">
        <is>
          <t>C1;C3;OUT_OF_TAXONOMY:resource_abuse</t>
        </is>
      </c>
      <c r="R43" t="inlineStr">
        <is>
          <t>author_run</t>
        </is>
      </c>
      <c r="S43" t="inlineStr"/>
      <c r="T43" t="inlineStr">
        <is>
          <t>authors_own</t>
        </is>
      </c>
      <c r="U43" t="inlineStr">
        <is>
          <t>tidak</t>
        </is>
      </c>
      <c r="V43" t="inlineStr"/>
      <c r="W43" t="inlineStr">
        <is>
          <t>Sec. VI, Gbr 6, hal. 5-7</t>
        </is>
      </c>
      <c r="X43" t="inlineStr">
        <is>
          <t>none</t>
        </is>
      </c>
      <c r="Y43" t="inlineStr">
        <is>
          <t>dilaporkan: acceptance rate pada 100 percobaan per 8 skenario STRIDE (Gbr 6)</t>
        </is>
      </c>
      <c r="Z43" t="inlineStr">
        <is>
          <t>MCP-IPE (defense_primary, L1). Penegakan ACP deny-by-default (C1), autentikasi token tidak valid (C3), dan mitigasi rate-burst 429 flooding (STRIDE DoS -&gt; OUT_OF_TAXONOMY:resource_abuse) pada 8 skenario x 100 percobaan (Gbr 6).</t>
        </is>
      </c>
      <c r="AA43" t="inlineStr">
        <is>
          <t>L1</t>
        </is>
      </c>
      <c r="AB43" t="inlineStr"/>
      <c r="AC43" t="inlineStr">
        <is>
          <t>include</t>
        </is>
      </c>
      <c r="AD43" t="inlineStr"/>
      <c r="AE43" t="inlineStr"/>
      <c r="AF43" t="inlineStr">
        <is>
          <t>Baseline (148-corpus)</t>
        </is>
      </c>
      <c r="AG43" t="inlineStr">
        <is>
          <t>L1</t>
        </is>
      </c>
      <c r="AH43" t="inlineStr">
        <is>
          <t>No</t>
        </is>
      </c>
    </row>
    <row r="44">
      <c r="A44" t="inlineStr">
        <is>
          <t>llu-2026-trustworthy-model-context-protocol-mcp</t>
        </is>
      </c>
      <c r="B44" t="inlineStr">
        <is>
          <t>The Trustworthy Model Context Protocol (MCP) Registry: An Architectural Blueprint for Cryptographic Provenance and Runtime Integrity</t>
        </is>
      </c>
      <c r="C44" t="n">
        <v>2026</v>
      </c>
      <c r="D44" t="inlineStr">
        <is>
          <t>E1</t>
        </is>
      </c>
      <c r="E44" t="inlineStr">
        <is>
          <t>kandidat_agent</t>
        </is>
      </c>
      <c r="F44" t="inlineStr">
        <is>
          <t>proposal_only</t>
        </is>
      </c>
      <c r="G44" t="inlineStr">
        <is>
          <t>https://doi.org/10.3390/fi18050243</t>
        </is>
      </c>
      <c r="H44" t="inlineStr">
        <is>
          <t>ya</t>
        </is>
      </c>
      <c r="I44" t="inlineStr">
        <is>
          <t>defense_primary</t>
        </is>
      </c>
      <c r="J44" t="inlineStr">
        <is>
          <t>proto-mcp (Trustworthy MCP Registry)</t>
        </is>
      </c>
      <c r="K44" t="inlineStr">
        <is>
          <t>integrity_provenance</t>
        </is>
      </c>
      <c r="L44" t="inlineStr">
        <is>
          <t>Arsitektur registri terpercaya tiga lapis berbasis dokumen /.well-known/mcp.json, Sigstore keyless signing, log transparansi, dan validasi tanda tangan JWK runtime untuk mencegah mutasi kapabilitas dan serangan rug pull.</t>
        </is>
      </c>
      <c r="M44" t="inlineStr">
        <is>
          <t>tidak</t>
        </is>
      </c>
      <c r="N44" t="inlineStr">
        <is>
          <t>registry</t>
        </is>
      </c>
      <c r="O44" t="inlineStr">
        <is>
          <t>R7</t>
        </is>
      </c>
      <c r="P44" t="inlineStr">
        <is>
          <t>B1;B2;D3</t>
        </is>
      </c>
      <c r="Q44" t="inlineStr">
        <is>
          <t>B1</t>
        </is>
      </c>
      <c r="R44" t="inlineStr">
        <is>
          <t>author_run</t>
        </is>
      </c>
      <c r="S44" t="inlineStr"/>
      <c r="T44" t="inlineStr">
        <is>
          <t>authors_own</t>
        </is>
      </c>
      <c r="U44" t="inlineStr">
        <is>
          <t>tidak</t>
        </is>
      </c>
      <c r="V44" t="inlineStr"/>
      <c r="W44" t="inlineStr">
        <is>
          <t>Sec. 4-5; hal. 8-12</t>
        </is>
      </c>
      <c r="X44" t="inlineStr">
        <is>
          <t>none</t>
        </is>
      </c>
      <c r="Y44" t="inlineStr">
        <is>
          <t>overhead tanda tangan kriptografis 0.61 ms per operasi (Sec. 5)</t>
        </is>
      </c>
      <c r="Z44" t="inlineStr">
        <is>
          <t>Teks lengkap MDPI Future Internet (18(5), 243). Evaluasi author_run prototipe proto-mcp terhadap 100 simulasi serangan rug pull (B1): 100% ditolak; overhead penandatanganan kriptografis 0.61 ms. Catatan deployment: prototipe internal/eksperimental (belum dirilis secara publik).</t>
        </is>
      </c>
      <c r="AA44" t="inlineStr">
        <is>
          <t>L1</t>
        </is>
      </c>
      <c r="AB44" t="inlineStr"/>
      <c r="AC44" t="inlineStr">
        <is>
          <t>include</t>
        </is>
      </c>
      <c r="AD44" t="inlineStr"/>
      <c r="AE44" t="inlineStr"/>
      <c r="AF44" t="inlineStr">
        <is>
          <t>Baseline (148-corpus)</t>
        </is>
      </c>
      <c r="AG44" t="inlineStr">
        <is>
          <t>L1</t>
        </is>
      </c>
      <c r="AH44" t="inlineStr">
        <is>
          <t>No</t>
        </is>
      </c>
    </row>
    <row r="45">
      <c r="A45" t="inlineStr">
        <is>
          <t>michelle-2025-missing-securing-model-context-protocol</t>
        </is>
      </c>
      <c r="B45" t="inlineStr">
        <is>
          <t>The Missing S: Securing the Model Context Protocol</t>
        </is>
      </c>
      <c r="C45" t="n">
        <v>2025</v>
      </c>
      <c r="D45" t="inlineStr">
        <is>
          <t>E1</t>
        </is>
      </c>
      <c r="E45" t="inlineStr">
        <is>
          <t>kandidat_agent</t>
        </is>
      </c>
      <c r="F45" t="inlineStr">
        <is>
          <t>proposal_only</t>
        </is>
      </c>
      <c r="G45" t="inlineStr">
        <is>
          <t>https://doi.org/10.1109/ICoAIT67446.2025.11308830</t>
        </is>
      </c>
      <c r="H45" t="inlineStr">
        <is>
          <t>ya</t>
        </is>
      </c>
      <c r="I45" t="inlineStr">
        <is>
          <t>defense_primary</t>
        </is>
      </c>
      <c r="J45" t="inlineStr">
        <is>
          <t>Missing S / DistilBERT Command Injection Detector</t>
        </is>
      </c>
      <c r="K45" t="inlineStr">
        <is>
          <t>content_inspection_runtime</t>
        </is>
      </c>
      <c r="L45" t="inlineStr">
        <is>
          <t>Detektor injeksi perintah runtime berbasis model Transformer (DistilBERT fine-tuned) untuk memeriksa argumen pemanggilan tool pada protokol MCP.</t>
        </is>
      </c>
      <c r="M45" t="inlineStr">
        <is>
          <t>ya</t>
        </is>
      </c>
      <c r="N45" t="inlineStr">
        <is>
          <t>gateway_proxy</t>
        </is>
      </c>
      <c r="O45" t="inlineStr">
        <is>
          <t>R2;R5</t>
        </is>
      </c>
      <c r="P45" t="inlineStr">
        <is>
          <t>C5</t>
        </is>
      </c>
      <c r="Q45" t="inlineStr">
        <is>
          <t>C5</t>
        </is>
      </c>
      <c r="R45" t="inlineStr">
        <is>
          <t>author_run</t>
        </is>
      </c>
      <c r="S45" t="inlineStr"/>
      <c r="T45" t="inlineStr">
        <is>
          <t>authors_own</t>
        </is>
      </c>
      <c r="U45" t="inlineStr">
        <is>
          <t>tidak</t>
        </is>
      </c>
      <c r="V45" t="inlineStr"/>
      <c r="W45" t="inlineStr">
        <is>
          <t>Sec. IV, Tabel II, hal. 4-5</t>
        </is>
      </c>
      <c r="X45" t="inlineStr">
        <is>
          <t>prototype_open_source</t>
        </is>
      </c>
      <c r="Y45" t="inlineStr">
        <is>
          <t>akurasi 99.92%, precision 99.85%, recall 100% pada 2.400 sampel uji</t>
        </is>
      </c>
      <c r="Z45" t="inlineStr">
        <is>
          <t>Teks lengkap tersedia di papers/ieee. Kode dan model tersedia publik di https://github.com/chelleajax/Securing-the-MCP.</t>
        </is>
      </c>
      <c r="AA45" t="inlineStr">
        <is>
          <t>L1</t>
        </is>
      </c>
      <c r="AB45" t="inlineStr"/>
      <c r="AC45" t="inlineStr">
        <is>
          <t>include</t>
        </is>
      </c>
      <c r="AD45" t="inlineStr"/>
      <c r="AE45" t="inlineStr"/>
      <c r="AF45" t="inlineStr">
        <is>
          <t>Baseline (148-corpus)</t>
        </is>
      </c>
      <c r="AG45" t="inlineStr">
        <is>
          <t>L1</t>
        </is>
      </c>
      <c r="AH45" t="inlineStr">
        <is>
          <t>No</t>
        </is>
      </c>
    </row>
    <row r="46">
      <c r="A46" t="inlineStr">
        <is>
          <t>om-2025-comprehensive-security-framework-model-context</t>
        </is>
      </c>
      <c r="B46" t="inlineStr">
        <is>
          <t>A Comprehensive Security Framework for the Model Context Protocol (MCP) in Multi-Agent AI Systems</t>
        </is>
      </c>
      <c r="C46" t="n">
        <v>2025</v>
      </c>
      <c r="D46" t="inlineStr">
        <is>
          <t>E1</t>
        </is>
      </c>
      <c r="E46" t="inlineStr">
        <is>
          <t>kandidat_agent</t>
        </is>
      </c>
      <c r="F46" t="inlineStr">
        <is>
          <t>proposal_only</t>
        </is>
      </c>
      <c r="G46" t="inlineStr">
        <is>
          <t>https://doi.org/10.1109/acai68217.2025.11406667</t>
        </is>
      </c>
      <c r="H46" t="inlineStr">
        <is>
          <t>ya</t>
        </is>
      </c>
      <c r="I46" t="inlineStr">
        <is>
          <t>defense_primary</t>
        </is>
      </c>
      <c r="J46" t="inlineStr">
        <is>
          <t>Multi-Layer Security Framework (SecureFlow)</t>
        </is>
      </c>
      <c r="K46" t="inlineStr">
        <is>
          <t>deterministic_policy</t>
        </is>
      </c>
      <c r="L46" t="inlineStr">
        <is>
          <t>Kerangka pertahanan multi-layer untuk sistem multi-agen MCP yang memadukan OPA policy-as-code, scoped JWT, isolasi AgentNamespace, dan Saga state consistency.</t>
        </is>
      </c>
      <c r="M46" t="inlineStr">
        <is>
          <t>tidak</t>
        </is>
      </c>
      <c r="N46" t="inlineStr">
        <is>
          <t>gateway_proxy</t>
        </is>
      </c>
      <c r="O46" t="inlineStr">
        <is>
          <t>R1;R2;R3;R5;R7</t>
        </is>
      </c>
      <c r="P46" t="inlineStr">
        <is>
          <t>A1;A2;B1;B2;C1;C2;D1</t>
        </is>
      </c>
      <c r="Q46" t="inlineStr"/>
      <c r="R46" t="inlineStr">
        <is>
          <t>none</t>
        </is>
      </c>
      <c r="S46" t="inlineStr"/>
      <c r="T46" t="inlineStr">
        <is>
          <t>none</t>
        </is>
      </c>
      <c r="U46" t="inlineStr">
        <is>
          <t>n/a_tanpa_evaluasi</t>
        </is>
      </c>
      <c r="V46" t="inlineStr"/>
      <c r="W46" t="inlineStr"/>
      <c r="X46" t="inlineStr">
        <is>
          <t>none</t>
        </is>
      </c>
      <c r="Y46" t="inlineStr">
        <is>
          <t>not_reported</t>
        </is>
      </c>
      <c r="Z46" t="inlineStr">
        <is>
          <t>Multi-layer security framework (SecureFlow). Tidak ada data empiris di Sec IV-VI, dikodekan defense_primary L0 sesuai Addendum v1.2 Bagian 3.</t>
        </is>
      </c>
      <c r="AA46" t="inlineStr">
        <is>
          <t>L0</t>
        </is>
      </c>
      <c r="AB46" t="inlineStr"/>
      <c r="AC46" t="inlineStr">
        <is>
          <t>include</t>
        </is>
      </c>
      <c r="AD46" t="inlineStr"/>
      <c r="AE46" t="inlineStr"/>
      <c r="AF46" t="inlineStr">
        <is>
          <t>Baseline (148-corpus)</t>
        </is>
      </c>
      <c r="AG46" t="inlineStr">
        <is>
          <t>L0</t>
        </is>
      </c>
      <c r="AH46" t="inlineStr">
        <is>
          <t>N/A</t>
        </is>
      </c>
    </row>
    <row r="47">
      <c r="A47" t="inlineStr">
        <is>
          <t>rodrigo-2026-design-security-framework-multi-agent</t>
        </is>
      </c>
      <c r="B47" t="inlineStr">
        <is>
          <t>Design of a Security Framework for Multi-Agent Systems Based on Model Context Protocol in SOC Environments</t>
        </is>
      </c>
      <c r="C47" t="n">
        <v>2026</v>
      </c>
      <c r="D47" t="inlineStr">
        <is>
          <t>E1</t>
        </is>
      </c>
      <c r="E47" t="inlineStr">
        <is>
          <t>kandidat_agent</t>
        </is>
      </c>
      <c r="F47" t="inlineStr">
        <is>
          <t>proposal_only</t>
        </is>
      </c>
      <c r="G47" t="inlineStr">
        <is>
          <t>https://doi.org/10.3390/app16167915</t>
        </is>
      </c>
      <c r="H47" t="inlineStr">
        <is>
          <t>ya</t>
        </is>
      </c>
      <c r="I47" t="inlineStr">
        <is>
          <t>defense_primary</t>
        </is>
      </c>
      <c r="J47" t="inlineStr">
        <is>
          <t>SOC MCP Security Middleware</t>
        </is>
      </c>
      <c r="K47" t="inlineStr">
        <is>
          <t>deterministic_policy</t>
        </is>
      </c>
      <c r="L47" t="inlineStr">
        <is>
          <t>Middleware keamanan lima lapis (access control, rate limiting, validasi input/output, audit log) terintegrasi Wazuh SIEM untuk alur kerja multi-agen SOC.</t>
        </is>
      </c>
      <c r="M47" t="inlineStr">
        <is>
          <t>tidak</t>
        </is>
      </c>
      <c r="N47" t="inlineStr">
        <is>
          <t>gateway_proxy</t>
        </is>
      </c>
      <c r="O47" t="inlineStr">
        <is>
          <t>R1;R2;R7</t>
        </is>
      </c>
      <c r="P47" t="inlineStr">
        <is>
          <t>A1;A2;A3;B2;D3</t>
        </is>
      </c>
      <c r="Q47" t="inlineStr">
        <is>
          <t>A1;A2;B2</t>
        </is>
      </c>
      <c r="R47" t="inlineStr">
        <is>
          <t>author_run</t>
        </is>
      </c>
      <c r="S47" t="inlineStr"/>
      <c r="T47" t="inlineStr">
        <is>
          <t>authors_own</t>
        </is>
      </c>
      <c r="U47" t="inlineStr">
        <is>
          <t>tidak</t>
        </is>
      </c>
      <c r="V47" t="inlineStr"/>
      <c r="W47" t="inlineStr">
        <is>
          <t>Sec. 4-5; hal. 8-12</t>
        </is>
      </c>
      <c r="X47" t="inlineStr">
        <is>
          <t>none</t>
        </is>
      </c>
      <c r="Y47" t="inlineStr">
        <is>
          <t>dilaporkan: latensi middleware minimal pada pipeline SOC Wazuh (Sec. 5)</t>
        </is>
      </c>
      <c r="Z47" t="inlineStr">
        <is>
          <t>Teks lengkap MDPI Applied Sciences (16(16), 7915). Evaluasi author_run 600 eksekusi pada pipeline SOC terhubung Wazuh SIEM: memblokir 100% serangan teridentifikasi dari 29 vektor ancaman tanpa false rejections. Catatan deployment: prototipe internal/eksperimental (belum dirilis secara publik).</t>
        </is>
      </c>
      <c r="AA47" t="inlineStr">
        <is>
          <t>L1</t>
        </is>
      </c>
      <c r="AB47" t="inlineStr"/>
      <c r="AC47" t="inlineStr">
        <is>
          <t>include</t>
        </is>
      </c>
      <c r="AD47" t="inlineStr"/>
      <c r="AE47" t="inlineStr"/>
      <c r="AF47" t="inlineStr">
        <is>
          <t>Baseline (148-corpus)</t>
        </is>
      </c>
      <c r="AG47" t="inlineStr">
        <is>
          <t>L1</t>
        </is>
      </c>
      <c r="AH47" t="inlineStr">
        <is>
          <t>No</t>
        </is>
      </c>
    </row>
    <row r="48">
      <c r="A48" t="inlineStr">
        <is>
          <t>rohit-2024-model-context-protocol-mcp-security</t>
        </is>
      </c>
      <c r="B48" t="inlineStr">
        <is>
          <t>Model Context Protocol (MCP) Security and Tenancy Boundaries</t>
        </is>
      </c>
      <c r="C48" t="n">
        <v>2024</v>
      </c>
      <c r="D48" t="inlineStr">
        <is>
          <t>E1</t>
        </is>
      </c>
      <c r="E48" t="inlineStr">
        <is>
          <t>kandidat_agent</t>
        </is>
      </c>
      <c r="F48" t="inlineStr">
        <is>
          <t>proposal_only</t>
        </is>
      </c>
      <c r="G48" t="inlineStr">
        <is>
          <t>https://doi.org/10.63282/3050-9416.ijaibdcms-v5i1p118</t>
        </is>
      </c>
      <c r="H48" t="inlineStr">
        <is>
          <t>ya</t>
        </is>
      </c>
      <c r="I48" t="inlineStr">
        <is>
          <t>defense_primary</t>
        </is>
      </c>
      <c r="J48" t="inlineStr">
        <is>
          <t>Tenant-Aware MCP Framework</t>
        </is>
      </c>
      <c r="K48" t="inlineStr">
        <is>
          <t>deterministic_policy</t>
        </is>
      </c>
      <c r="L48" t="inlineStr">
        <is>
          <t>Kerangka keamanan multi-tenant MCP yang menerapkan penandaan konteks kriptografis (tenant_id, session_id), validasi kebijakan runtime OPA, dan isolasi Nitro Enclaves untuk mencegah context bleed antar-tenant.</t>
        </is>
      </c>
      <c r="M48" t="inlineStr">
        <is>
          <t>tidak</t>
        </is>
      </c>
      <c r="N48" t="inlineStr">
        <is>
          <t>gateway_proxy</t>
        </is>
      </c>
      <c r="O48" t="inlineStr">
        <is>
          <t>R2;R3;R5;R6</t>
        </is>
      </c>
      <c r="P48" t="inlineStr">
        <is>
          <t>A2;C2;C3;D1</t>
        </is>
      </c>
      <c r="Q48" t="inlineStr">
        <is>
          <t>A2;C2;D1</t>
        </is>
      </c>
      <c r="R48" t="inlineStr">
        <is>
          <t>author_run</t>
        </is>
      </c>
      <c r="S48" t="inlineStr"/>
      <c r="T48" t="inlineStr">
        <is>
          <t>authors_own</t>
        </is>
      </c>
      <c r="U48" t="inlineStr">
        <is>
          <t>tidak</t>
        </is>
      </c>
      <c r="V48" t="inlineStr"/>
      <c r="W48" t="inlineStr">
        <is>
          <t>Sec. 4.2; Sec. 5.1; hal. 184-186</t>
        </is>
      </c>
      <c r="X48" t="inlineStr">
        <is>
          <t>none</t>
        </is>
      </c>
      <c r="Y48" t="inlineStr">
        <is>
          <t>latensi +2.7% (Sec. 5.1.1, hal. 185) / latensi isolasi 35 ms ke 48 ms (Sec. 4.2.2, hal. 184)</t>
        </is>
      </c>
      <c r="Z48" t="inlineStr">
        <is>
          <t>Teks lengkap diunduh dari IJAIBDCMS (OJS). Simulasi &gt;10.000 runs, 1.000 concurrent tenants: mengeliminasi context leakage rate dari 2.6% ke 0% (Sec. 5.1.1); akurasi isolasi 99.97%; latensi overhead 2.7%.</t>
        </is>
      </c>
      <c r="AA48" t="inlineStr">
        <is>
          <t>L1</t>
        </is>
      </c>
      <c r="AB48" t="inlineStr"/>
      <c r="AC48" t="inlineStr">
        <is>
          <t>include</t>
        </is>
      </c>
      <c r="AD48" t="inlineStr"/>
      <c r="AE48" t="inlineStr"/>
      <c r="AF48" t="inlineStr">
        <is>
          <t>Baseline (148-corpus)</t>
        </is>
      </c>
      <c r="AG48" t="inlineStr">
        <is>
          <t>L1</t>
        </is>
      </c>
      <c r="AH48" t="inlineStr">
        <is>
          <t>No</t>
        </is>
      </c>
    </row>
    <row r="49">
      <c r="A49" t="inlineStr">
        <is>
          <t>s-2025-zero-trust-security-frameworks-model</t>
        </is>
      </c>
      <c r="B49" t="inlineStr">
        <is>
          <t>Zero-Trust Security Frameworks for Model Context Protocol (MCP) Server Communications</t>
        </is>
      </c>
      <c r="C49" t="n">
        <v>2025</v>
      </c>
      <c r="D49" t="inlineStr">
        <is>
          <t>E1</t>
        </is>
      </c>
      <c r="E49" t="inlineStr">
        <is>
          <t>kandidat_agent</t>
        </is>
      </c>
      <c r="F49" t="inlineStr">
        <is>
          <t>proposal_only</t>
        </is>
      </c>
      <c r="G49" t="inlineStr">
        <is>
          <t>https://doi.org/10.37082/ijirmps.v13.i6.232959</t>
        </is>
      </c>
      <c r="H49" t="inlineStr">
        <is>
          <t>ya</t>
        </is>
      </c>
      <c r="I49" t="inlineStr">
        <is>
          <t>proposal_only</t>
        </is>
      </c>
      <c r="J49" t="inlineStr">
        <is>
          <t>MCP Zero-Trust Architecture Framework</t>
        </is>
      </c>
      <c r="K49" t="inlineStr">
        <is>
          <t>deterministic_policy</t>
        </is>
      </c>
      <c r="L49" t="inlineStr">
        <is>
          <t>Kerangka kerja Zero-Trust Architecture (ZTA) untuk komunikasi server MCP yang menerapkan autentikasi mutual mTLS, mikro-segmentasi jaringan, penegakan kebijakan dinamis PDP/PEP, dan telemetri logging berkelanjutan.</t>
        </is>
      </c>
      <c r="M49" t="inlineStr">
        <is>
          <t>tidak</t>
        </is>
      </c>
      <c r="N49" t="inlineStr">
        <is>
          <t>gateway_proxy</t>
        </is>
      </c>
      <c r="O49" t="inlineStr">
        <is>
          <t>R1;R2;R4;R5;R6;R7</t>
        </is>
      </c>
      <c r="P49" t="inlineStr">
        <is>
          <t>A1;A2;A3;B1;B2;C3;D3</t>
        </is>
      </c>
      <c r="Q49" t="inlineStr"/>
      <c r="R49" t="inlineStr">
        <is>
          <t>none</t>
        </is>
      </c>
      <c r="S49" t="inlineStr"/>
      <c r="T49" t="inlineStr">
        <is>
          <t>none</t>
        </is>
      </c>
      <c r="U49" t="inlineStr">
        <is>
          <t>n/a_tanpa_evaluasi</t>
        </is>
      </c>
      <c r="V49" t="inlineStr"/>
      <c r="W49" t="inlineStr">
        <is>
          <t>Sec. 3 &amp; 4, hal. 4-6</t>
        </is>
      </c>
      <c r="X49" t="inlineStr">
        <is>
          <t>none</t>
        </is>
      </c>
      <c r="Y49" t="inlineStr">
        <is>
          <t>not_reported</t>
        </is>
      </c>
      <c r="Z49" t="inlineStr">
        <is>
          <t>Makalah usulan arsitektur zero-trust untuk komunikasi server MCP (PDP/PEP, mTLS, mikrosegmentasi) tanpa evaluasi empiris pertahanan terhadap dataset serangan. KODER 1 menandai teks lengkap.</t>
        </is>
      </c>
      <c r="AA49" t="inlineStr">
        <is>
          <t>L0</t>
        </is>
      </c>
      <c r="AB49" t="inlineStr"/>
      <c r="AC49" t="inlineStr">
        <is>
          <t>include</t>
        </is>
      </c>
      <c r="AD49" t="inlineStr"/>
      <c r="AE49" t="inlineStr"/>
      <c r="AF49" t="inlineStr">
        <is>
          <t>Baseline (148-corpus)</t>
        </is>
      </c>
      <c r="AG49" t="inlineStr">
        <is>
          <t>L0</t>
        </is>
      </c>
      <c r="AH49" t="inlineStr">
        <is>
          <t>N/A</t>
        </is>
      </c>
    </row>
    <row r="50">
      <c r="A50" t="inlineStr">
        <is>
          <t>sunil-2026-zero-trust-supply-chain-security</t>
        </is>
      </c>
      <c r="B50" t="inlineStr">
        <is>
          <t>A Zero-Trust Supply Chain Security Framework for Model Context Protocol-based AI Systems</t>
        </is>
      </c>
      <c r="C50" t="n">
        <v>2026</v>
      </c>
      <c r="D50" t="inlineStr">
        <is>
          <t>E1</t>
        </is>
      </c>
      <c r="E50" t="inlineStr">
        <is>
          <t>kandidat_agent</t>
        </is>
      </c>
      <c r="F50" t="inlineStr">
        <is>
          <t>proposal_only</t>
        </is>
      </c>
      <c r="G50" t="inlineStr">
        <is>
          <t>https://doi.org/10.1109/iccbi68589.2026.11619741</t>
        </is>
      </c>
      <c r="H50" t="inlineStr">
        <is>
          <t>ya</t>
        </is>
      </c>
      <c r="I50" t="inlineStr">
        <is>
          <t>defense_primary</t>
        </is>
      </c>
      <c r="J50" t="inlineStr">
        <is>
          <t>ContextGuard</t>
        </is>
      </c>
      <c r="K50" t="inlineStr">
        <is>
          <t>integrity_provenance</t>
        </is>
      </c>
      <c r="L50" t="inlineStr">
        <is>
          <t>Kerangka kerja zero-trust rantai pasok MCP yang menggabungkan verifikasi kriptografis (CVL), deteksi drift semantik definisi tool (DIMS), dan penegakan kebijakan (PEP).</t>
        </is>
      </c>
      <c r="M50" t="inlineStr">
        <is>
          <t>tidak</t>
        </is>
      </c>
      <c r="N50" t="inlineStr">
        <is>
          <t>gateway_proxy</t>
        </is>
      </c>
      <c r="O50" t="inlineStr">
        <is>
          <t>R1;R2;R7</t>
        </is>
      </c>
      <c r="P50" t="inlineStr">
        <is>
          <t>A1;D1;D3</t>
        </is>
      </c>
      <c r="Q50" t="inlineStr">
        <is>
          <t>A1;D1;D3</t>
        </is>
      </c>
      <c r="R50" t="inlineStr">
        <is>
          <t>author_run</t>
        </is>
      </c>
      <c r="S50" t="inlineStr"/>
      <c r="T50" t="inlineStr">
        <is>
          <t>authors_own</t>
        </is>
      </c>
      <c r="U50" t="inlineStr">
        <is>
          <t>tidak</t>
        </is>
      </c>
      <c r="V50" t="inlineStr"/>
      <c r="W50" t="inlineStr">
        <is>
          <t>Sec. VI-VII, Tabel 2 &amp; 3, hal. 4-5</t>
        </is>
      </c>
      <c r="X50" t="inlineStr">
        <is>
          <t>prototype_open_source</t>
        </is>
      </c>
      <c r="Y50" t="inlineStr">
        <is>
          <t>latensi otorisasi bertambah +1.58 ms (3.42 ms vs baseline 1.84 ms, Tabel 3)</t>
        </is>
      </c>
      <c r="Z50" t="inlineStr">
        <is>
          <t>Teks lengkap tersedia di papers/ieee. Evaluasi pada korpus 40 tool (30 berbahaya, 10 jinak) dengan deteksi 96.7%. Kode publik di https://github.com/sunilgentyala/contextguard.</t>
        </is>
      </c>
      <c r="AA50" t="inlineStr">
        <is>
          <t>L1</t>
        </is>
      </c>
      <c r="AB50" t="inlineStr"/>
      <c r="AC50" t="inlineStr">
        <is>
          <t>include</t>
        </is>
      </c>
      <c r="AD50" t="inlineStr"/>
      <c r="AE50" t="inlineStr"/>
      <c r="AF50" t="inlineStr">
        <is>
          <t>Baseline (148-corpus)</t>
        </is>
      </c>
      <c r="AG50" t="inlineStr">
        <is>
          <t>L1</t>
        </is>
      </c>
      <c r="AH50" t="inlineStr">
        <is>
          <t>No</t>
        </is>
      </c>
    </row>
    <row r="51">
      <c r="A51" t="inlineStr">
        <is>
          <t>theophilus-2026-systematic-security-analysis-model-context</t>
        </is>
      </c>
      <c r="B51" t="inlineStr">
        <is>
          <t>A Systematic Security Analysis of Model Context Protocol: Vulnerabilities, Exploits, and Mitigations</t>
        </is>
      </c>
      <c r="C51" t="n">
        <v>2026</v>
      </c>
      <c r="D51" t="inlineStr">
        <is>
          <t>E1</t>
        </is>
      </c>
      <c r="E51" t="inlineStr">
        <is>
          <t>kandidat_agent</t>
        </is>
      </c>
      <c r="F51" t="inlineStr">
        <is>
          <t>proposal_only</t>
        </is>
      </c>
      <c r="G51" t="inlineStr">
        <is>
          <t>https://doi.org/10.1109/ICAIC67076.2026.11395848</t>
        </is>
      </c>
      <c r="H51" t="inlineStr">
        <is>
          <t>ya</t>
        </is>
      </c>
      <c r="I51" t="inlineStr">
        <is>
          <t>defense_secondary</t>
        </is>
      </c>
      <c r="J51" t="inlineStr">
        <is>
          <t>Hardened MCP Defenses (Prompt Shielding, RBAC, Rate Limiting)</t>
        </is>
      </c>
      <c r="K51" t="inlineStr">
        <is>
          <t>deterministic_policy</t>
        </is>
      </c>
      <c r="L51" t="inlineStr">
        <is>
          <t>Pengerasan server MCP berlapis menggunakan Prompt Shielding (filter konteks), RBAC least-privilege, dan Rate Limiting sumber daya.</t>
        </is>
      </c>
      <c r="M51" t="inlineStr">
        <is>
          <t>tidak</t>
        </is>
      </c>
      <c r="N51" t="inlineStr">
        <is>
          <t>S</t>
        </is>
      </c>
      <c r="O51" t="inlineStr">
        <is>
          <t>R2;R3;R5</t>
        </is>
      </c>
      <c r="P51" t="inlineStr">
        <is>
          <t>A2;C1;C5;D1;OUT_OF_TAXONOMY:resource_abuse</t>
        </is>
      </c>
      <c r="Q51" t="inlineStr">
        <is>
          <t>A2;C1;C5;D1;OUT_OF_TAXONOMY:resource_abuse</t>
        </is>
      </c>
      <c r="R51" t="inlineStr">
        <is>
          <t>author_run</t>
        </is>
      </c>
      <c r="S51" t="inlineStr"/>
      <c r="T51" t="inlineStr">
        <is>
          <t>authors_own</t>
        </is>
      </c>
      <c r="U51" t="inlineStr">
        <is>
          <t>tidak</t>
        </is>
      </c>
      <c r="V51" t="inlineStr"/>
      <c r="W51" t="inlineStr">
        <is>
          <t>Sec. X-A, Tabel IV, hal. 6-7</t>
        </is>
      </c>
      <c r="X51" t="inlineStr">
        <is>
          <t>none</t>
        </is>
      </c>
      <c r="Y51" t="inlineStr">
        <is>
          <t>dilaporkan: reduksi ASR serangan (RBAC -51.3%, Prompt Shield -47.5%, Rate Limit -37.2%, Tabel IV)</t>
        </is>
      </c>
      <c r="Z51" t="inlineStr">
        <is>
          <t>Hardened MCP Defenses (defense_secondary, L1). Tabel IV: Prompt Shielding (A2/C5/D1), RBAC (C1), dan Rate Limiting (OUT_OF_TAXONOMY:resource_abuse). Penurunan ASR signifikan pada 15 server MCP.</t>
        </is>
      </c>
      <c r="AA51" t="inlineStr">
        <is>
          <t>L1</t>
        </is>
      </c>
      <c r="AB51" t="inlineStr"/>
      <c r="AC51" t="inlineStr">
        <is>
          <t>include</t>
        </is>
      </c>
      <c r="AD51" t="inlineStr"/>
      <c r="AE51" t="inlineStr"/>
      <c r="AF51" t="inlineStr">
        <is>
          <t>Baseline (148-corpus)</t>
        </is>
      </c>
      <c r="AG51" t="inlineStr">
        <is>
          <t>L1</t>
        </is>
      </c>
      <c r="AH51" t="inlineStr">
        <is>
          <t>No</t>
        </is>
      </c>
    </row>
    <row r="52">
      <c r="A52" t="inlineStr">
        <is>
          <t>vineeth-2026-enterprise-grade-security-model-context</t>
        </is>
      </c>
      <c r="B52" t="inlineStr">
        <is>
          <t>Enterprise-Grade Security for the Model Context Protocol (MCP): Frameworks and Mitigation Strategies</t>
        </is>
      </c>
      <c r="C52" t="n">
        <v>2026</v>
      </c>
      <c r="D52" t="inlineStr">
        <is>
          <t>E1</t>
        </is>
      </c>
      <c r="E52" t="inlineStr">
        <is>
          <t>kandidat_agent</t>
        </is>
      </c>
      <c r="F52" t="inlineStr">
        <is>
          <t>proposal_only</t>
        </is>
      </c>
      <c r="G52" t="inlineStr">
        <is>
          <t>https://arxiv.org/abs/2504.08623</t>
        </is>
      </c>
      <c r="H52" t="inlineStr">
        <is>
          <t>ya</t>
        </is>
      </c>
      <c r="I52" t="inlineStr">
        <is>
          <t>proposal_only</t>
        </is>
      </c>
      <c r="J52" t="inlineStr">
        <is>
          <t>Enterprise-Grade MCP Security Framework</t>
        </is>
      </c>
      <c r="K52" t="inlineStr">
        <is>
          <t>deterministic_policy</t>
        </is>
      </c>
      <c r="L52" t="inlineStr">
        <is>
          <t>Kerangka kerja pertahanan berlapis (defense-in-depth) enterprise untuk MCP yang menerapkan kontrol zero trust, pemodelan ancaman MAESTRO, autentikasi granular, dan audit telemetri.</t>
        </is>
      </c>
      <c r="M52" t="inlineStr">
        <is>
          <t>tidak</t>
        </is>
      </c>
      <c r="N52" t="inlineStr">
        <is>
          <t>gateway_proxy</t>
        </is>
      </c>
      <c r="O52" t="inlineStr">
        <is>
          <t>R1;R2;R4;R5;R6;R7</t>
        </is>
      </c>
      <c r="P52" t="inlineStr">
        <is>
          <t>A1;A2;A3;B1;B2;C3;D3</t>
        </is>
      </c>
      <c r="Q52" t="inlineStr"/>
      <c r="R52" t="inlineStr">
        <is>
          <t>none</t>
        </is>
      </c>
      <c r="S52" t="inlineStr"/>
      <c r="T52" t="inlineStr">
        <is>
          <t>none</t>
        </is>
      </c>
      <c r="U52" t="inlineStr">
        <is>
          <t>n/a_tanpa_evaluasi</t>
        </is>
      </c>
      <c r="V52" t="inlineStr"/>
      <c r="W52" t="inlineStr">
        <is>
          <t>Sec. III &amp; IV, hal. 4-9</t>
        </is>
      </c>
      <c r="X52" t="inlineStr">
        <is>
          <t>none</t>
        </is>
      </c>
      <c r="Y52" t="inlineStr">
        <is>
          <t>not_reported</t>
        </is>
      </c>
      <c r="Z52" t="inlineStr">
        <is>
          <t>KODER 1 menandai teks lengkap. Makalah usulan kerangka kerja pertahanan enterprise berlapis berbasis Zero Trust dan MAESTRO tanpa evaluasi empiris terhadap dataset serangan. Sesuai Pedoman, dikodekan sebagai proposal_only.</t>
        </is>
      </c>
      <c r="AA52" t="inlineStr">
        <is>
          <t>L0</t>
        </is>
      </c>
      <c r="AB52" t="inlineStr"/>
      <c r="AC52" t="inlineStr">
        <is>
          <t>include</t>
        </is>
      </c>
      <c r="AD52" t="inlineStr"/>
      <c r="AE52" t="inlineStr"/>
      <c r="AF52" t="inlineStr">
        <is>
          <t>Baseline (148-corpus)</t>
        </is>
      </c>
      <c r="AG52" t="inlineStr">
        <is>
          <t>L0</t>
        </is>
      </c>
      <c r="AH52" t="inlineStr">
        <is>
          <t>N/A</t>
        </is>
      </c>
    </row>
    <row r="53">
      <c r="A53" t="inlineStr">
        <is>
          <t>john-2026-mcp-safety-audit-llms-model</t>
        </is>
      </c>
      <c r="B53" t="inlineStr">
        <is>
          <t>MCP safety audit: LLMs with the model context protocol allow major security exploits</t>
        </is>
      </c>
      <c r="C53" t="n">
        <v>2026</v>
      </c>
      <c r="D53" t="inlineStr">
        <is>
          <t>E2</t>
        </is>
      </c>
      <c r="E53" t="inlineStr">
        <is>
          <t>kandidat_agent</t>
        </is>
      </c>
      <c r="F53" t="inlineStr">
        <is>
          <t>secondary</t>
        </is>
      </c>
      <c r="G53" t="inlineStr">
        <is>
          <t>https://arxiv.org/abs/2504.03767</t>
        </is>
      </c>
      <c r="H53" t="inlineStr">
        <is>
          <t>ya</t>
        </is>
      </c>
      <c r="I53" t="inlineStr">
        <is>
          <t>defense_secondary</t>
        </is>
      </c>
      <c r="J53" t="inlineStr">
        <is>
          <t>McpSafetyScanner</t>
        </is>
      </c>
      <c r="K53" t="inlineStr">
        <is>
          <t>content_inspection_static</t>
        </is>
      </c>
      <c r="L53" t="inlineStr">
        <is>
          <t>Pemindai kerentanan multi-agen otomatis (McpSafetyScanner) bertenaga LLM yang memindai konfigurasi perkakas MCP, mendeteksi potensi eksploitasi (MCE, RAC, pencurian kredensial), dan menghasilkan saran remediasi keamanan.</t>
        </is>
      </c>
      <c r="M53" t="inlineStr">
        <is>
          <t>ya</t>
        </is>
      </c>
      <c r="N53" t="inlineStr">
        <is>
          <t>offline_analysis</t>
        </is>
      </c>
      <c r="O53" t="inlineStr">
        <is>
          <t>R2;R6;R7</t>
        </is>
      </c>
      <c r="P53" t="inlineStr">
        <is>
          <t>A1;A2;C5;D1;D3</t>
        </is>
      </c>
      <c r="Q53" t="inlineStr">
        <is>
          <t>A2;C5;D1</t>
        </is>
      </c>
      <c r="R53" t="inlineStr">
        <is>
          <t>author_run+independent</t>
        </is>
      </c>
      <c r="S53" t="inlineStr">
        <is>
          <t>pengyu-2026-viper-mcp-detecting-exploiting-taint; zhiyuan-2026-confused-deputy-attack-model-context</t>
        </is>
      </c>
      <c r="T53" t="inlineStr">
        <is>
          <t>authors_own</t>
        </is>
      </c>
      <c r="U53" t="inlineStr">
        <is>
          <t>tidak</t>
        </is>
      </c>
      <c r="V53" t="inlineStr"/>
      <c r="W53" t="inlineStr">
        <is>
          <t>Sec. 5 &amp; 7, Tabel 2 &amp; 3, Gbr 20 &amp; 21, hal. 6-9, 25-27</t>
        </is>
      </c>
      <c r="X53" t="inlineStr">
        <is>
          <t>prototype_open_source</t>
        </is>
      </c>
      <c r="Y53" t="inlineStr">
        <is>
          <t>Runtime kurang dari satu menit per pemindaian pada Apple M2 Max MacBook Pro</t>
        </is>
      </c>
      <c r="Z53" t="inlineStr">
        <is>
          <t>McpSafetyScanner (defense_secondary, L2). Audit otomatis konfigurasi MCP untuk MCE/RAC (C5), prompt/tool manipulation (A2), credential theft (D1). Dua evaluator independen: VIPER-MCP (Tabel 2, hal. 11) dan Zhiyuan-2026 (Tabel 8, hal. 21). Repositori resmi: github.com/johnhalloran321/mcpSafetyScanner. Repositori/artefak: https://github.com/johnhalloran321/mcpSafetyScanner.</t>
        </is>
      </c>
      <c r="AA53" t="inlineStr">
        <is>
          <t>L2</t>
        </is>
      </c>
      <c r="AB53" t="inlineStr"/>
      <c r="AC53" t="inlineStr">
        <is>
          <t>include</t>
        </is>
      </c>
      <c r="AD53" t="inlineStr"/>
      <c r="AE53" t="inlineStr"/>
      <c r="AF53" t="inlineStr">
        <is>
          <t>Baseline (148-corpus)</t>
        </is>
      </c>
      <c r="AG53" t="inlineStr">
        <is>
          <t>L2</t>
        </is>
      </c>
      <c r="AH53" t="inlineStr">
        <is>
          <t>No</t>
        </is>
      </c>
    </row>
    <row r="54">
      <c r="A54" t="inlineStr">
        <is>
          <t>panduranga-2026-delegation-trust-empirical-gap-analysis</t>
        </is>
      </c>
      <c r="B54" t="inlineStr">
        <is>
          <t>Delegation Without Trust: An Empirical Gap Analysis of Identity, Authorization, and Runtime Governance in Multi-Agent LLM Systems</t>
        </is>
      </c>
      <c r="C54" t="n">
        <v>2026</v>
      </c>
      <c r="D54" t="inlineStr">
        <is>
          <t>E2</t>
        </is>
      </c>
      <c r="E54" t="inlineStr">
        <is>
          <t>kandidat_agent</t>
        </is>
      </c>
      <c r="F54" t="inlineStr">
        <is>
          <t>secondary</t>
        </is>
      </c>
      <c r="G54" t="inlineStr">
        <is>
          <t>https://arxiv.org/abs/2609.00267</t>
        </is>
      </c>
      <c r="H54" t="inlineStr">
        <is>
          <t>ya</t>
        </is>
      </c>
      <c r="I54" t="inlineStr">
        <is>
          <t>defense_secondary</t>
        </is>
      </c>
      <c r="J54" t="inlineStr">
        <is>
          <t>Trust Broker (Delegation Governance Broker)</t>
        </is>
      </c>
      <c r="K54" t="inlineStr">
        <is>
          <t>capability_or_token</t>
        </is>
      </c>
      <c r="L54" t="inlineStr">
        <is>
          <t>Broker tata kelola delegasi berbasis kapabilitas yang menerapkan sender-constrained tokens, workload identity (SPIFFE/mTLS), dan pembatasan radius dampak untuk mencegah eskalasi wewenang dan pembajakan delegasi agen.</t>
        </is>
      </c>
      <c r="M54" t="inlineStr">
        <is>
          <t>tidak</t>
        </is>
      </c>
      <c r="N54" t="inlineStr">
        <is>
          <t>gateway_proxy</t>
        </is>
      </c>
      <c r="O54" t="inlineStr">
        <is>
          <t>R1;R2;R3;R5</t>
        </is>
      </c>
      <c r="P54" t="inlineStr">
        <is>
          <t>A1;A3;B2;C1;C3</t>
        </is>
      </c>
      <c r="Q54" t="inlineStr">
        <is>
          <t>C1;C3</t>
        </is>
      </c>
      <c r="R54" t="inlineStr">
        <is>
          <t>author_run</t>
        </is>
      </c>
      <c r="S54" t="inlineStr"/>
      <c r="T54" t="inlineStr">
        <is>
          <t>authors_own</t>
        </is>
      </c>
      <c r="U54" t="inlineStr">
        <is>
          <t>ya</t>
        </is>
      </c>
      <c r="V54" t="inlineStr">
        <is>
          <t>Beyond the four scenarios, we run a suite that actively attacks the broker's own design: forging a token from scratch.</t>
        </is>
      </c>
      <c r="W54" t="inlineStr">
        <is>
          <t>Sec. 7; Table 4; hal. 7-8</t>
        </is>
      </c>
      <c r="X54" t="inlineStr">
        <is>
          <t>none</t>
        </is>
      </c>
      <c r="Y54" t="inlineStr">
        <is>
          <t>Broker latency minimal tanpa pemanggilan LLM; membatasi blast radius dari 8.100 aksi menjadi rata-rata 1.5 aksi</t>
        </is>
      </c>
      <c r="Z54" t="inlineStr">
        <is>
          <t>Trust Broker menggunakan token kapabilitas Macaroon/Biscuit-style dengan caveat teratenuasi dan SVID mTLS. Tanpa repo publik (deployment=none). Adaptif=ya (11 serangan terarah desain oleh penulis).</t>
        </is>
      </c>
      <c r="AA54" t="inlineStr">
        <is>
          <t>L1</t>
        </is>
      </c>
      <c r="AB54" t="inlineStr"/>
      <c r="AC54" t="inlineStr">
        <is>
          <t>include</t>
        </is>
      </c>
      <c r="AD54" t="inlineStr"/>
      <c r="AE54" t="inlineStr"/>
      <c r="AF54" t="inlineStr">
        <is>
          <t>Baseline (148-corpus)</t>
        </is>
      </c>
      <c r="AG54" t="inlineStr">
        <is>
          <t>L1</t>
        </is>
      </c>
      <c r="AH54" t="inlineStr">
        <is>
          <t>Yes</t>
        </is>
      </c>
    </row>
    <row r="55">
      <c r="A55" t="inlineStr">
        <is>
          <t>yuanhe-2025-leechhijack-covert-computational-resource-exploitation</t>
        </is>
      </c>
      <c r="B55" t="inlineStr">
        <is>
          <t>LeechHijack: Covert Computational Resource Exploitation in Intelligent Agent Systems</t>
        </is>
      </c>
      <c r="C55" t="n">
        <v>2025</v>
      </c>
      <c r="D55" t="inlineStr">
        <is>
          <t>E2</t>
        </is>
      </c>
      <c r="E55" t="inlineStr">
        <is>
          <t>kandidat_agent</t>
        </is>
      </c>
      <c r="F55" t="inlineStr">
        <is>
          <t>secondary</t>
        </is>
      </c>
      <c r="G55" t="inlineStr">
        <is>
          <t>https://arxiv.org/abs/2512.02321</t>
        </is>
      </c>
      <c r="H55" t="inlineStr">
        <is>
          <t>ya</t>
        </is>
      </c>
      <c r="I55" t="inlineStr">
        <is>
          <t>defense_secondary</t>
        </is>
      </c>
      <c r="J55" t="inlineStr">
        <is>
          <t>LLM-as-a-Judge Defense for LeechHijack</t>
        </is>
      </c>
      <c r="K55" t="inlineStr">
        <is>
          <t>content_inspection_runtime</t>
        </is>
      </c>
      <c r="L55" t="inlineStr">
        <is>
          <t>Detektor berbasis LLM-as-a-judge yang menganalisis prompt dan respons tool untuk mendeteksi pembajakan komputasi terselubung pada agen MCP.</t>
        </is>
      </c>
      <c r="M55" t="inlineStr">
        <is>
          <t>ya</t>
        </is>
      </c>
      <c r="N55" t="inlineStr">
        <is>
          <t>gateway_proxy</t>
        </is>
      </c>
      <c r="O55" t="inlineStr">
        <is>
          <t>R2</t>
        </is>
      </c>
      <c r="P55" t="inlineStr">
        <is>
          <t>OUT_OF_TAXONOMY:resource_abuse</t>
        </is>
      </c>
      <c r="Q55" t="inlineStr">
        <is>
          <t>OUT_OF_TAXONOMY:resource_abuse</t>
        </is>
      </c>
      <c r="R55" t="inlineStr">
        <is>
          <t>author_run</t>
        </is>
      </c>
      <c r="S55" t="inlineStr"/>
      <c r="T55" t="inlineStr">
        <is>
          <t>authors_own</t>
        </is>
      </c>
      <c r="U55" t="inlineStr">
        <is>
          <t>tidak</t>
        </is>
      </c>
      <c r="V55" t="inlineStr"/>
      <c r="W55" t="inlineStr">
        <is>
          <t>Sec. 5.6 &amp; 6, Tabel 12-15</t>
        </is>
      </c>
      <c r="X55" t="inlineStr">
        <is>
          <t>none</t>
        </is>
      </c>
      <c r="Y55" t="inlineStr">
        <is>
          <t>not_reported</t>
        </is>
      </c>
      <c r="Z55" t="inlineStr">
        <is>
          <t>Makalah serangan LeechHijack yang mengimplementasikan dan mengevaluasi mekanisme mitigasi LLM-as-a-judge (F1 hingga 0,96, rata-rata 0,71 di Tabel 12-15). Dikodekan sebagai defense_secondary sesuai Pedoman Bagian 3.</t>
        </is>
      </c>
      <c r="AA55" t="inlineStr">
        <is>
          <t>L1</t>
        </is>
      </c>
      <c r="AB55" t="inlineStr"/>
      <c r="AC55" t="inlineStr">
        <is>
          <t>include</t>
        </is>
      </c>
      <c r="AD55" t="inlineStr"/>
      <c r="AE55" t="inlineStr"/>
      <c r="AF55" t="inlineStr">
        <is>
          <t>Baseline (148-corpus)</t>
        </is>
      </c>
      <c r="AG55" t="inlineStr">
        <is>
          <t>L1</t>
        </is>
      </c>
      <c r="AH55" t="inlineStr">
        <is>
          <t>No</t>
        </is>
      </c>
    </row>
    <row r="56">
      <c r="A56" t="inlineStr">
        <is>
          <t>biwei-2025-mcp-not-stand-misuse-cryptography</t>
        </is>
      </c>
      <c r="B56" t="inlineStr">
        <is>
          <t>"MCP Does Not Stand for Misuse Cryptography Protocol": Uncovering Cryptographic Misuse in Model Context Protocol at Scale</t>
        </is>
      </c>
      <c r="C56" t="n">
        <v>2025</v>
      </c>
      <c r="D56" t="inlineStr">
        <is>
          <t>E2</t>
        </is>
      </c>
      <c r="E56" t="inlineStr">
        <is>
          <t>kandidat_cek_recall</t>
        </is>
      </c>
      <c r="F56" t="inlineStr">
        <is>
          <t>none</t>
        </is>
      </c>
      <c r="G56" t="inlineStr">
        <is>
          <t>https://arxiv.org/abs/2512.03775</t>
        </is>
      </c>
      <c r="H56" t="inlineStr">
        <is>
          <t>ya</t>
        </is>
      </c>
      <c r="I56" t="inlineStr">
        <is>
          <t>defense_primary</t>
        </is>
      </c>
      <c r="J56" t="inlineStr">
        <is>
          <t>MICRYSCOPE</t>
        </is>
      </c>
      <c r="K56" t="inlineStr">
        <is>
          <t>content_inspection_static</t>
        </is>
      </c>
      <c r="L56" t="inlineStr">
        <is>
          <t>Kerangka analisis statis berbasis taint analysis dan intermediate representation untuk mendeteksi penyalahgunaan kriptografi (hardcoded keys, algoritma lemah, insecure transport) pada server MCP.</t>
        </is>
      </c>
      <c r="M56" t="inlineStr">
        <is>
          <t>tidak</t>
        </is>
      </c>
      <c r="N56" t="inlineStr">
        <is>
          <t>offline_analysis</t>
        </is>
      </c>
      <c r="O56" t="inlineStr">
        <is>
          <t>R4;R5</t>
        </is>
      </c>
      <c r="P56" t="inlineStr">
        <is>
          <t>C3;C5</t>
        </is>
      </c>
      <c r="Q56" t="inlineStr">
        <is>
          <t>C3;C5</t>
        </is>
      </c>
      <c r="R56" t="inlineStr">
        <is>
          <t>author_run</t>
        </is>
      </c>
      <c r="S56" t="inlineStr"/>
      <c r="T56" t="inlineStr">
        <is>
          <t>third_party_public</t>
        </is>
      </c>
      <c r="U56" t="inlineStr">
        <is>
          <t>tidak</t>
        </is>
      </c>
      <c r="V56" t="inlineStr"/>
      <c r="W56" t="inlineStr">
        <is>
          <t>Sec. 5, Fig. 8, Tabel 2-4</t>
        </is>
      </c>
      <c r="X56" t="inlineStr">
        <is>
          <t>none</t>
        </is>
      </c>
      <c r="Y56" t="inlineStr">
        <is>
          <t>not_reported</t>
        </is>
      </c>
      <c r="Z56" t="inlineStr">
        <is>
          <t>Kerangka pemindaian statis MICRYSCOPE untuk audit kriptografi pada implementasi server MCP ekosistem terbuka. Catatan deployment: prototipe internal/eksperimental (belum dirilis secara publik).</t>
        </is>
      </c>
      <c r="AA56" t="inlineStr">
        <is>
          <t>L1</t>
        </is>
      </c>
      <c r="AB56" t="inlineStr"/>
      <c r="AC56" t="inlineStr">
        <is>
          <t>include</t>
        </is>
      </c>
      <c r="AD56" t="inlineStr"/>
      <c r="AE56" t="inlineStr"/>
      <c r="AF56" t="inlineStr">
        <is>
          <t>Baseline (148-corpus)</t>
        </is>
      </c>
      <c r="AG56" t="inlineStr">
        <is>
          <t>L1</t>
        </is>
      </c>
      <c r="AH56" t="inlineStr">
        <is>
          <t>No</t>
        </is>
      </c>
    </row>
    <row r="57">
      <c r="A57" t="inlineStr">
        <is>
          <t>haoran-2025-quantifying-conversation-drift-mcp-via</t>
        </is>
      </c>
      <c r="B57" t="inlineStr">
        <is>
          <t>Quantifying Conversation Drift in MCP via Latent Polytope</t>
        </is>
      </c>
      <c r="C57" t="n">
        <v>2025</v>
      </c>
      <c r="D57" t="inlineStr">
        <is>
          <t>E2</t>
        </is>
      </c>
      <c r="E57" t="inlineStr">
        <is>
          <t>kandidat_cek_recall</t>
        </is>
      </c>
      <c r="F57" t="inlineStr">
        <is>
          <t>none</t>
        </is>
      </c>
      <c r="G57" t="inlineStr">
        <is>
          <t>https://arxiv.org/abs/2508.06418</t>
        </is>
      </c>
      <c r="H57" t="inlineStr">
        <is>
          <t>ya</t>
        </is>
      </c>
      <c r="I57" t="inlineStr">
        <is>
          <t>defense_primary</t>
        </is>
      </c>
      <c r="J57" t="inlineStr">
        <is>
          <t>SECMCP</t>
        </is>
      </c>
      <c r="K57" t="inlineStr">
        <is>
          <t>content_inspection_runtime</t>
        </is>
      </c>
      <c r="L57" t="inlineStr">
        <is>
          <t>Mendeteksi pergeseran percakapan (conversation drift) pada interaksi MCP dengan mengukur lintasan ruang laten menggunakan analisis politop laten untuk memitigasi manipulasi resource adversarial.</t>
        </is>
      </c>
      <c r="M57" t="inlineStr">
        <is>
          <t>tidak</t>
        </is>
      </c>
      <c r="N57" t="inlineStr">
        <is>
          <t>gateway_proxy</t>
        </is>
      </c>
      <c r="O57" t="inlineStr">
        <is>
          <t>R2;R6</t>
        </is>
      </c>
      <c r="P57" t="inlineStr">
        <is>
          <t>A2;D2</t>
        </is>
      </c>
      <c r="Q57" t="inlineStr">
        <is>
          <t>A2;D2</t>
        </is>
      </c>
      <c r="R57" t="inlineStr">
        <is>
          <t>author_run</t>
        </is>
      </c>
      <c r="S57" t="inlineStr"/>
      <c r="T57" t="inlineStr">
        <is>
          <t>mixed</t>
        </is>
      </c>
      <c r="U57" t="inlineStr">
        <is>
          <t>tidak</t>
        </is>
      </c>
      <c r="V57" t="inlineStr"/>
      <c r="W57" t="inlineStr">
        <is>
          <t>Sec. 4-5, Table 1-3, Fig. 3</t>
        </is>
      </c>
      <c r="X57" t="inlineStr">
        <is>
          <t>none</t>
        </is>
      </c>
      <c r="Y57" t="inlineStr">
        <is>
          <t>dilaporkan: dampak utilitas jinak dapat diabaikan (Tabel 3)</t>
        </is>
      </c>
      <c r="Z57" t="inlineStr">
        <is>
          <t>SECMCP mendeteksi conversation drift pada interaksi MCP lewat pemodelan politop laten terhadap injeksi resource berbahaya. Catatan deployment: prototipe internal/eksperimental (belum dirilis secara publik).</t>
        </is>
      </c>
      <c r="AA57" t="inlineStr">
        <is>
          <t>L1</t>
        </is>
      </c>
      <c r="AB57" t="inlineStr"/>
      <c r="AC57" t="inlineStr">
        <is>
          <t>include</t>
        </is>
      </c>
      <c r="AD57" t="inlineStr"/>
      <c r="AE57" t="inlineStr"/>
      <c r="AF57" t="inlineStr">
        <is>
          <t>Baseline (148-corpus)</t>
        </is>
      </c>
      <c r="AG57" t="inlineStr">
        <is>
          <t>L1</t>
        </is>
      </c>
      <c r="AH57" t="inlineStr">
        <is>
          <t>No</t>
        </is>
      </c>
    </row>
    <row r="58">
      <c r="A58" t="inlineStr">
        <is>
          <t>mehrdad-2026-trustshiftprobe-characterizing-benchmarking-defending-staged</t>
        </is>
      </c>
      <c r="B58" t="inlineStr">
        <is>
          <t>TrustShiftProbe: Characterizing, Benchmarking, and Defending Staged Trust Attacks on MCP Servers</t>
        </is>
      </c>
      <c r="C58" t="n">
        <v>2026</v>
      </c>
      <c r="D58" t="inlineStr">
        <is>
          <t>E2</t>
        </is>
      </c>
      <c r="E58" t="inlineStr">
        <is>
          <t>kandidat_cek_recall</t>
        </is>
      </c>
      <c r="F58" t="inlineStr">
        <is>
          <t>none</t>
        </is>
      </c>
      <c r="G58" t="inlineStr">
        <is>
          <t>https://arxiv.org/abs/2608.23763</t>
        </is>
      </c>
      <c r="H58" t="inlineStr">
        <is>
          <t>ya</t>
        </is>
      </c>
      <c r="I58" t="inlineStr">
        <is>
          <t>defense_primary</t>
        </is>
      </c>
      <c r="J58" t="inlineStr">
        <is>
          <t>SHIELD</t>
        </is>
      </c>
      <c r="K58" t="inlineStr">
        <is>
          <t>content_inspection_runtime</t>
        </is>
      </c>
      <c r="L58" t="inlineStr">
        <is>
          <t>Pertahanan runtime multi-tingkat pada batas transport MCP yang mengaudit payload respons server terhadap profil baseline perilaku yang dipelajari selama jendela kepercayaan bersih.</t>
        </is>
      </c>
      <c r="M58" t="inlineStr">
        <is>
          <t>tidak</t>
        </is>
      </c>
      <c r="N58" t="inlineStr">
        <is>
          <t>gateway_proxy</t>
        </is>
      </c>
      <c r="O58" t="inlineStr">
        <is>
          <t>R2;R5;R7</t>
        </is>
      </c>
      <c r="P58" t="inlineStr">
        <is>
          <t>B1;C5;D1</t>
        </is>
      </c>
      <c r="Q58" t="inlineStr">
        <is>
          <t>B1;C5;D1</t>
        </is>
      </c>
      <c r="R58" t="inlineStr">
        <is>
          <t>author_run</t>
        </is>
      </c>
      <c r="S58" t="inlineStr"/>
      <c r="T58" t="inlineStr">
        <is>
          <t>authors_own</t>
        </is>
      </c>
      <c r="U58" t="inlineStr">
        <is>
          <t>tidak</t>
        </is>
      </c>
      <c r="V58" t="inlineStr"/>
      <c r="W58" t="inlineStr">
        <is>
          <t>Sec. VI, Table III &amp; IV, Fig. 4</t>
        </is>
      </c>
      <c r="X58" t="inlineStr">
        <is>
          <t>none</t>
        </is>
      </c>
      <c r="Y58" t="inlineStr">
        <is>
          <t>dilaporkan: overhead latensi runtime (Tabel IV)</t>
        </is>
      </c>
      <c r="Z58" t="inlineStr">
        <is>
          <t>SHIELD adalah pertahanan runtime batas transport MCP terhadap serangan defeksi bertahap (TrustShift) pada server MCP. Catatan deployment: prototipe internal/eksperimental (belum dirilis secara publik).</t>
        </is>
      </c>
      <c r="AA58" t="inlineStr">
        <is>
          <t>L1</t>
        </is>
      </c>
      <c r="AB58" t="inlineStr"/>
      <c r="AC58" t="inlineStr">
        <is>
          <t>include</t>
        </is>
      </c>
      <c r="AD58" t="inlineStr"/>
      <c r="AE58" t="inlineStr"/>
      <c r="AF58" t="inlineStr">
        <is>
          <t>Baseline (148-corpus)</t>
        </is>
      </c>
      <c r="AG58" t="inlineStr">
        <is>
          <t>L1</t>
        </is>
      </c>
      <c r="AH58" t="inlineStr">
        <is>
          <t>No</t>
        </is>
      </c>
    </row>
    <row r="59">
      <c r="A59" t="inlineStr">
        <is>
          <t>n-2025-breaking-protocol-security-analysis-model</t>
        </is>
      </c>
      <c r="B59" t="inlineStr">
        <is>
          <t>Breaking the Protocol: Security Analysis of the Model Context Protocol Specification and Prompt Injection Vulnerabilities in Tool-Integrated LLM Agents</t>
        </is>
      </c>
      <c r="C59" t="n">
        <v>2025</v>
      </c>
      <c r="D59" t="inlineStr">
        <is>
          <t>E1</t>
        </is>
      </c>
      <c r="E59" t="inlineStr">
        <is>
          <t>kandidat_cek_recall</t>
        </is>
      </c>
      <c r="F59" t="inlineStr">
        <is>
          <t>none</t>
        </is>
      </c>
      <c r="G59" t="inlineStr">
        <is>
          <t>https://doi.org/10.25559/sitito.021.202503.420-428</t>
        </is>
      </c>
      <c r="H59" t="inlineStr">
        <is>
          <t>ya</t>
        </is>
      </c>
      <c r="I59" t="inlineStr">
        <is>
          <t>defense_secondary</t>
        </is>
      </c>
      <c r="J59" t="inlineStr">
        <is>
          <t>AttestMCP</t>
        </is>
      </c>
      <c r="K59" t="inlineStr">
        <is>
          <t>integrity_provenance</t>
        </is>
      </c>
      <c r="L59" t="inlineStr">
        <is>
          <t>Ekstensi protokol AttestMCP berbasis sertifikat kapabilitas federated CA, autentikasi pesan HMAC-SHA256, origin tagging, dan sliding window nonces untuk menjamin integritas pertukaran pesan MCP.</t>
        </is>
      </c>
      <c r="M59" t="inlineStr">
        <is>
          <t>tidak</t>
        </is>
      </c>
      <c r="N59" t="inlineStr">
        <is>
          <t>C</t>
        </is>
      </c>
      <c r="O59" t="inlineStr">
        <is>
          <t>R1;R2;R4;R6</t>
        </is>
      </c>
      <c r="P59" t="inlineStr">
        <is>
          <t>A2;C3;C5;D1</t>
        </is>
      </c>
      <c r="Q59" t="inlineStr">
        <is>
          <t>A2;D1</t>
        </is>
      </c>
      <c r="R59" t="inlineStr">
        <is>
          <t>author_run</t>
        </is>
      </c>
      <c r="S59" t="inlineStr"/>
      <c r="T59" t="inlineStr">
        <is>
          <t>authors_own</t>
        </is>
      </c>
      <c r="U59" t="inlineStr">
        <is>
          <t>tidak</t>
        </is>
      </c>
      <c r="V59" t="inlineStr"/>
      <c r="W59" t="inlineStr">
        <is>
          <t>Sec. VI; Table IX &amp; X; hal. 5-6</t>
        </is>
      </c>
      <c r="X59" t="inlineStr">
        <is>
          <t>none</t>
        </is>
      </c>
      <c r="Y59" t="inlineStr">
        <is>
          <t>latensi 2.4 ms (warm) / 8.3 ms (cold) per pesan (Tabel IX)</t>
        </is>
      </c>
      <c r="Z59" t="inlineStr">
        <is>
          <t>Teks lengkap diunduh via arXiv:2601.17549. Evaluasi empiris author_run pada benchmark ProtoAmp (847 skenario): menurunkan ASR sebesar 76.5% (dari 52.8% ke 12.4%, Tabel X); overhead latensi 2.4 ms warm / 8.3 ms cold (Tabel IX). Catatan deployment: prototipe internal/eksperimental (belum dirilis secara publik).</t>
        </is>
      </c>
      <c r="AA59" t="inlineStr">
        <is>
          <t>L1</t>
        </is>
      </c>
      <c r="AB59" t="inlineStr"/>
      <c r="AC59" t="inlineStr">
        <is>
          <t>include</t>
        </is>
      </c>
      <c r="AD59" t="inlineStr"/>
      <c r="AE59" t="inlineStr"/>
      <c r="AF59" t="inlineStr">
        <is>
          <t>Baseline (148-corpus)</t>
        </is>
      </c>
      <c r="AG59" t="inlineStr">
        <is>
          <t>L1</t>
        </is>
      </c>
      <c r="AH59" t="inlineStr">
        <is>
          <t>No</t>
        </is>
      </c>
    </row>
    <row r="60">
      <c r="A60" t="inlineStr">
        <is>
          <t>pengyu-2026-viper-mcp-detecting-exploiting-taint</t>
        </is>
      </c>
      <c r="B60" t="inlineStr">
        <is>
          <t>VIPER-MCP: Detecting and Exploiting Taint-Style Vulnerabilities in Model Context Protocol Servers</t>
        </is>
      </c>
      <c r="C60" t="n">
        <v>2026</v>
      </c>
      <c r="D60" t="inlineStr">
        <is>
          <t>E2</t>
        </is>
      </c>
      <c r="E60" t="inlineStr">
        <is>
          <t>kandidat_cek_recall</t>
        </is>
      </c>
      <c r="F60" t="inlineStr">
        <is>
          <t>none</t>
        </is>
      </c>
      <c r="G60" t="inlineStr">
        <is>
          <t>https://arxiv.org/abs/2605.21392</t>
        </is>
      </c>
      <c r="H60" t="inlineStr">
        <is>
          <t>ya</t>
        </is>
      </c>
      <c r="I60" t="inlineStr">
        <is>
          <t>defense_primary</t>
        </is>
      </c>
      <c r="J60" t="inlineStr">
        <is>
          <t>VIPER-MCP</t>
        </is>
      </c>
      <c r="K60" t="inlineStr">
        <is>
          <t>content_inspection_static</t>
        </is>
      </c>
      <c r="L60" t="inlineStr">
        <is>
          <t>Kerangka pendeteksi kerentanan server MCP berbasis pelacakan taint hybrid (statis-dinamis) dan fuzzing terisolasi untuk mengidentifikasi eksfiltrasi dan injeksi perintah.</t>
        </is>
      </c>
      <c r="M60" t="inlineStr">
        <is>
          <t>tidak</t>
        </is>
      </c>
      <c r="N60" t="inlineStr">
        <is>
          <t>offline_analysis</t>
        </is>
      </c>
      <c r="O60" t="inlineStr">
        <is>
          <t>R2;R5</t>
        </is>
      </c>
      <c r="P60" t="inlineStr">
        <is>
          <t>A2;C5;D1</t>
        </is>
      </c>
      <c r="Q60" t="inlineStr">
        <is>
          <t>A2;C5;D1</t>
        </is>
      </c>
      <c r="R60" t="inlineStr">
        <is>
          <t>author_run</t>
        </is>
      </c>
      <c r="S60" t="inlineStr"/>
      <c r="T60" t="inlineStr">
        <is>
          <t>mixed</t>
        </is>
      </c>
      <c r="U60" t="inlineStr">
        <is>
          <t>tidak</t>
        </is>
      </c>
      <c r="V60" t="inlineStr"/>
      <c r="W60" t="inlineStr">
        <is>
          <t>Sec. 5.3, Tabel 2, hal. 10-11</t>
        </is>
      </c>
      <c r="X60" t="inlineStr">
        <is>
          <t>none</t>
        </is>
      </c>
      <c r="Y60" t="inlineStr">
        <is>
          <t>dilaporkan: waktu analisis rata-rata per server (Sec. 5.3)</t>
        </is>
      </c>
      <c r="Z60" t="inlineStr">
        <is>
          <t>VIPER-MCP (defense_primary, L1). Evaluator independen bagi McpSafetyScanner sebagai baseline pesaing di Tabel 2 (hal. 11: FPR 43.1%, FNR 63.8%). Catatan deployment: prototipe internal/eksperimental (belum dirilis secara publik).</t>
        </is>
      </c>
      <c r="AA60" t="inlineStr">
        <is>
          <t>L1</t>
        </is>
      </c>
      <c r="AB60" t="inlineStr"/>
      <c r="AC60" t="inlineStr">
        <is>
          <t>include</t>
        </is>
      </c>
      <c r="AD60" t="inlineStr"/>
      <c r="AE60" t="inlineStr"/>
      <c r="AF60" t="inlineStr">
        <is>
          <t>Baseline (148-corpus)</t>
        </is>
      </c>
      <c r="AG60" t="inlineStr">
        <is>
          <t>L1</t>
        </is>
      </c>
      <c r="AH60" t="inlineStr">
        <is>
          <t>No</t>
        </is>
      </c>
    </row>
    <row r="61">
      <c r="A61" t="inlineStr">
        <is>
          <t>saeid-2025-semantic-attacks-tool-augmented-llms</t>
        </is>
      </c>
      <c r="B61" t="inlineStr">
        <is>
          <t>Semantic Attacks on Tool-Augmented LLMs: Securing the Model Context Protocol Against Descriptor-Level Manipulation</t>
        </is>
      </c>
      <c r="C61" t="n">
        <v>2025</v>
      </c>
      <c r="D61" t="inlineStr">
        <is>
          <t>E2</t>
        </is>
      </c>
      <c r="E61" t="inlineStr">
        <is>
          <t>kandidat_cek_recall</t>
        </is>
      </c>
      <c r="F61" t="inlineStr">
        <is>
          <t>none</t>
        </is>
      </c>
      <c r="G61" t="inlineStr">
        <is>
          <t>https://arxiv.org/abs/2512.06556</t>
        </is>
      </c>
      <c r="H61" t="inlineStr">
        <is>
          <t>ya</t>
        </is>
      </c>
      <c r="I61" t="inlineStr">
        <is>
          <t>defense_primary</t>
        </is>
      </c>
      <c r="J61" t="inlineStr">
        <is>
          <t>unnamed:layered semantic defense</t>
        </is>
      </c>
      <c r="K61" t="inlineStr">
        <is>
          <t>content_inspection_runtime</t>
        </is>
      </c>
      <c r="L61" t="inlineStr">
        <is>
          <t>Pertahanan berlapis yang menggabungkan verifikasi integritas deskriptor tool, pemeriksaan semantik pra-konteks via LLM pembantu, dan guardrail runtime untuk mencegah manipulasi deskriptor.</t>
        </is>
      </c>
      <c r="M61" t="inlineStr">
        <is>
          <t>ya</t>
        </is>
      </c>
      <c r="N61" t="inlineStr">
        <is>
          <t>gateway_proxy</t>
        </is>
      </c>
      <c r="O61" t="inlineStr">
        <is>
          <t>R2;R7</t>
        </is>
      </c>
      <c r="P61" t="inlineStr">
        <is>
          <t>A1;A3;B1</t>
        </is>
      </c>
      <c r="Q61" t="inlineStr">
        <is>
          <t>A1;A3;B1</t>
        </is>
      </c>
      <c r="R61" t="inlineStr">
        <is>
          <t>author_run</t>
        </is>
      </c>
      <c r="S61" t="inlineStr"/>
      <c r="T61" t="inlineStr">
        <is>
          <t>authors_own</t>
        </is>
      </c>
      <c r="U61" t="inlineStr">
        <is>
          <t>tidak</t>
        </is>
      </c>
      <c r="V61" t="inlineStr"/>
      <c r="W61" t="inlineStr">
        <is>
          <t>Sec. IV, Table 2-4, hal. 6-9</t>
        </is>
      </c>
      <c r="X61" t="inlineStr">
        <is>
          <t>none</t>
        </is>
      </c>
      <c r="Y61" t="inlineStr">
        <is>
          <t>dilaporkan: trade-off latensi dan keamanan antar arsitektur LLM (Sec. IV-C)</t>
        </is>
      </c>
      <c r="Z61" t="inlineStr">
        <is>
          <t>Mengevaluasi pertahanan berlapis terhadap manipulasi semantik deskriptor tool pada lingkungan MCP.</t>
        </is>
      </c>
      <c r="AA61" t="inlineStr">
        <is>
          <t>L1</t>
        </is>
      </c>
      <c r="AB61" t="inlineStr"/>
      <c r="AC61" t="inlineStr">
        <is>
          <t>include</t>
        </is>
      </c>
      <c r="AD61" t="inlineStr"/>
      <c r="AE61" t="inlineStr"/>
      <c r="AF61" t="inlineStr">
        <is>
          <t>Baseline (148-corpus)</t>
        </is>
      </c>
      <c r="AG61" t="inlineStr">
        <is>
          <t>L1</t>
        </is>
      </c>
      <c r="AH61" t="inlineStr">
        <is>
          <t>No</t>
        </is>
      </c>
    </row>
    <row r="62">
      <c r="A62" t="inlineStr">
        <is>
          <t>saeid-2026-verifiable-manifest-signing-transparency-enforcement</t>
        </is>
      </c>
      <c r="B62" t="inlineStr">
        <is>
          <t>Verifiable Manifest Signing and Transparency Enforcement for Secure MCP-Based LLM Pipelines</t>
        </is>
      </c>
      <c r="C62" t="n">
        <v>2026</v>
      </c>
      <c r="D62" t="inlineStr">
        <is>
          <t>E2</t>
        </is>
      </c>
      <c r="E62" t="inlineStr">
        <is>
          <t>kandidat_cek_recall</t>
        </is>
      </c>
      <c r="F62" t="inlineStr">
        <is>
          <t>none</t>
        </is>
      </c>
      <c r="G62" t="inlineStr">
        <is>
          <t>https://arxiv.org/abs/2601.23132</t>
        </is>
      </c>
      <c r="H62" t="inlineStr">
        <is>
          <t>ya</t>
        </is>
      </c>
      <c r="I62" t="inlineStr">
        <is>
          <t>defense_primary</t>
        </is>
      </c>
      <c r="J62" t="inlineStr">
        <is>
          <t>Verifiable Manifest Enforcement</t>
        </is>
      </c>
      <c r="K62" t="inlineStr">
        <is>
          <t>integrity_provenance</t>
        </is>
      </c>
      <c r="L62" t="inlineStr">
        <is>
          <t>Penegakan keamanan level manifes pada pemanggilan tool MCP menggunakan tanda tangan digital, verifikasi runtime, pengecekan kesegaran, dan pencatatan log transparansi yang dapat diaudit.</t>
        </is>
      </c>
      <c r="M62" t="inlineStr">
        <is>
          <t>tidak</t>
        </is>
      </c>
      <c r="N62" t="inlineStr">
        <is>
          <t>gateway_proxy</t>
        </is>
      </c>
      <c r="O62" t="inlineStr">
        <is>
          <t>R2;R7;PRA</t>
        </is>
      </c>
      <c r="P62" t="inlineStr">
        <is>
          <t>A1;B1;D3</t>
        </is>
      </c>
      <c r="Q62" t="inlineStr">
        <is>
          <t>A1;B1;D3</t>
        </is>
      </c>
      <c r="R62" t="inlineStr">
        <is>
          <t>author_run</t>
        </is>
      </c>
      <c r="S62" t="inlineStr"/>
      <c r="T62" t="inlineStr">
        <is>
          <t>authors_own</t>
        </is>
      </c>
      <c r="U62" t="inlineStr">
        <is>
          <t>tidak</t>
        </is>
      </c>
      <c r="V62" t="inlineStr"/>
      <c r="W62" t="inlineStr">
        <is>
          <t>Sec. IV, Table 1-3, Fig. 3</t>
        </is>
      </c>
      <c r="X62" t="inlineStr">
        <is>
          <t>none</t>
        </is>
      </c>
      <c r="Y62" t="inlineStr">
        <is>
          <t>dilaporkan: latensi verifikasi dan overhead kriptografi (Sec. IV-A)</t>
        </is>
      </c>
      <c r="Z62" t="inlineStr">
        <is>
          <t>Kerangka penegakan tanda tangan digital dan log transparansi untuk manifes pemanggilan tool MCP.</t>
        </is>
      </c>
      <c r="AA62" t="inlineStr">
        <is>
          <t>L1</t>
        </is>
      </c>
      <c r="AB62" t="inlineStr"/>
      <c r="AC62" t="inlineStr">
        <is>
          <t>include</t>
        </is>
      </c>
      <c r="AD62" t="inlineStr"/>
      <c r="AE62" t="inlineStr"/>
      <c r="AF62" t="inlineStr">
        <is>
          <t>Baseline (148-corpus)</t>
        </is>
      </c>
      <c r="AG62" t="inlineStr">
        <is>
          <t>L1</t>
        </is>
      </c>
      <c r="AH62" t="inlineStr">
        <is>
          <t>No</t>
        </is>
      </c>
    </row>
    <row r="63">
      <c r="A63" t="inlineStr">
        <is>
          <t>sonu-2025-mcp-guardian-security-first-layer</t>
        </is>
      </c>
      <c r="B63" t="inlineStr">
        <is>
          <t>MCP Guardian: A Security-First Layer for Safeguarding MCP-Based AI System</t>
        </is>
      </c>
      <c r="C63" t="n">
        <v>2025</v>
      </c>
      <c r="D63" t="inlineStr">
        <is>
          <t>E2</t>
        </is>
      </c>
      <c r="E63" t="inlineStr">
        <is>
          <t>kandidat_cek_recall</t>
        </is>
      </c>
      <c r="F63" t="inlineStr">
        <is>
          <t>none</t>
        </is>
      </c>
      <c r="G63" t="inlineStr">
        <is>
          <t>https://arxiv.org/abs/2504.12757</t>
        </is>
      </c>
      <c r="H63" t="inlineStr">
        <is>
          <t>ya</t>
        </is>
      </c>
      <c r="I63" t="inlineStr">
        <is>
          <t>defense_primary</t>
        </is>
      </c>
      <c r="J63" t="inlineStr">
        <is>
          <t>MCP Guardian</t>
        </is>
      </c>
      <c r="K63" t="inlineStr">
        <is>
          <t>deterministic_policy</t>
        </is>
      </c>
      <c r="L63" t="inlineStr">
        <is>
          <t>Lapisan middleware perantara klien dan server MCP yang menerapkan autentikasi, pembatasan laju (rate limiting), logging audit, dan pemindaian WAF terhadap payload berbahaya.</t>
        </is>
      </c>
      <c r="M63" t="inlineStr">
        <is>
          <t>tidak</t>
        </is>
      </c>
      <c r="N63" t="inlineStr">
        <is>
          <t>gateway_proxy</t>
        </is>
      </c>
      <c r="O63" t="inlineStr">
        <is>
          <t>R1;R2;R4</t>
        </is>
      </c>
      <c r="P63" t="inlineStr">
        <is>
          <t>A2;C3;C5;OUT_OF_TAXONOMY:resource_abuse</t>
        </is>
      </c>
      <c r="Q63" t="inlineStr">
        <is>
          <t>A2;C3;C5;OUT_OF_TAXONOMY:resource_abuse</t>
        </is>
      </c>
      <c r="R63" t="inlineStr">
        <is>
          <t>author_run</t>
        </is>
      </c>
      <c r="S63" t="inlineStr"/>
      <c r="T63" t="inlineStr">
        <is>
          <t>authors_own</t>
        </is>
      </c>
      <c r="U63" t="inlineStr">
        <is>
          <t>tidak</t>
        </is>
      </c>
      <c r="V63" t="inlineStr"/>
      <c r="W63" t="inlineStr">
        <is>
          <t>Sec. 5, Table 1, hal. 7-9</t>
        </is>
      </c>
      <c r="X63" t="inlineStr">
        <is>
          <t>none</t>
        </is>
      </c>
      <c r="Y63" t="inlineStr">
        <is>
          <t>dilaporkan: latensi baseline vs dengan Guardian (Sec. 5)</t>
        </is>
      </c>
      <c r="Z63" t="inlineStr">
        <is>
          <t>MCP Guardian (defense_primary, L1). Middleware proksi dengan autentikasi (C3), WAF pemfilteran prompt &amp; command injection (A2;C5), serta rate-limiting terhadap high-frequency abuse (OUT_OF_TAXONOMY:resource_abuse, Sec. 4.1.1). Catatan deployment: prototipe internal/eksperimental (belum dirilis secara publik).</t>
        </is>
      </c>
      <c r="AA63" t="inlineStr">
        <is>
          <t>L1</t>
        </is>
      </c>
      <c r="AB63" t="inlineStr"/>
      <c r="AC63" t="inlineStr">
        <is>
          <t>include</t>
        </is>
      </c>
      <c r="AD63" t="inlineStr"/>
      <c r="AE63" t="inlineStr"/>
      <c r="AF63" t="inlineStr">
        <is>
          <t>Baseline (148-corpus)</t>
        </is>
      </c>
      <c r="AG63" t="inlineStr">
        <is>
          <t>L1</t>
        </is>
      </c>
      <c r="AH63" t="inlineStr">
        <is>
          <t>No</t>
        </is>
      </c>
    </row>
    <row r="64">
      <c r="A64" t="inlineStr">
        <is>
          <t>charoes-2026-auditing-mcp-servers-privileged-tool</t>
        </is>
      </c>
      <c r="B64" t="inlineStr">
        <is>
          <t>Auditing MCP Servers for Over-Privileged Tool Capabilities</t>
        </is>
      </c>
      <c r="C64" t="n">
        <v>2026</v>
      </c>
      <c r="D64" t="inlineStr">
        <is>
          <t>E2</t>
        </is>
      </c>
      <c r="E64" t="inlineStr">
        <is>
          <t>scan_cepat</t>
        </is>
      </c>
      <c r="F64" t="inlineStr">
        <is>
          <t>none</t>
        </is>
      </c>
      <c r="G64" t="inlineStr">
        <is>
          <t>https://arxiv.org/abs/2603.21641</t>
        </is>
      </c>
      <c r="H64" t="inlineStr">
        <is>
          <t>ya</t>
        </is>
      </c>
      <c r="I64" t="inlineStr">
        <is>
          <t>defense_primary</t>
        </is>
      </c>
      <c r="J64" t="inlineStr">
        <is>
          <t>mcp-sec-audit</t>
        </is>
      </c>
      <c r="K64" t="inlineStr">
        <is>
          <t>content_inspection_static</t>
        </is>
      </c>
      <c r="L64" t="inlineStr">
        <is>
          <t>Perkakas audit keamanan mcp-sec-audit untuk mendeteksi kapabilitas berlebih (over-privileged) dan kerentanan eksekusi perintah serta file I/O pada server MCP.</t>
        </is>
      </c>
      <c r="M64" t="inlineStr">
        <is>
          <t>tidak</t>
        </is>
      </c>
      <c r="N64" t="inlineStr">
        <is>
          <t>offline_analysis</t>
        </is>
      </c>
      <c r="O64" t="inlineStr">
        <is>
          <t>R5</t>
        </is>
      </c>
      <c r="P64" t="inlineStr">
        <is>
          <t>C5</t>
        </is>
      </c>
      <c r="Q64" t="inlineStr">
        <is>
          <t>C5</t>
        </is>
      </c>
      <c r="R64" t="inlineStr">
        <is>
          <t>author_run</t>
        </is>
      </c>
      <c r="S64" t="inlineStr"/>
      <c r="T64" t="inlineStr">
        <is>
          <t>mixed</t>
        </is>
      </c>
      <c r="U64" t="inlineStr">
        <is>
          <t>tidak</t>
        </is>
      </c>
      <c r="V64" t="inlineStr"/>
      <c r="W64" t="inlineStr">
        <is>
          <t>Sec. 4, Table 1-2, hal. 4-6</t>
        </is>
      </c>
      <c r="X64" t="inlineStr">
        <is>
          <t>prototype_open_source</t>
        </is>
      </c>
      <c r="Y64" t="inlineStr">
        <is>
          <t>not_reported</t>
        </is>
      </c>
      <c r="Z64" t="inlineStr">
        <is>
          <t>Toolkit mcp-sec-audit untuk menguji kapabilitas berlebih pada server MCP. Repositori/artefak: https://github.com/nyit-vancouver/mcp-sec-audit.</t>
        </is>
      </c>
      <c r="AA64" t="inlineStr">
        <is>
          <t>L1</t>
        </is>
      </c>
      <c r="AB64" t="inlineStr"/>
      <c r="AC64" t="inlineStr">
        <is>
          <t>include</t>
        </is>
      </c>
      <c r="AD64" t="inlineStr"/>
      <c r="AE64" t="inlineStr"/>
      <c r="AF64" t="inlineStr">
        <is>
          <t>Baseline (148-corpus)</t>
        </is>
      </c>
      <c r="AG64" t="inlineStr">
        <is>
          <t>L1</t>
        </is>
      </c>
      <c r="AH64" t="inlineStr">
        <is>
          <t>No</t>
        </is>
      </c>
    </row>
    <row r="65">
      <c r="A65" t="inlineStr">
        <is>
          <t>manideep-2026-enterprise-identity-integration-ai-assisted</t>
        </is>
      </c>
      <c r="B65" t="inlineStr">
        <is>
          <t>Enterprise Identity Integration for AI-Assisted Developer Services: Architecture, Implementation, and Case Study</t>
        </is>
      </c>
      <c r="C65" t="n">
        <v>2026</v>
      </c>
      <c r="D65" t="inlineStr">
        <is>
          <t>E2</t>
        </is>
      </c>
      <c r="E65" t="inlineStr">
        <is>
          <t>scan_cepat</t>
        </is>
      </c>
      <c r="F65" t="inlineStr">
        <is>
          <t>none</t>
        </is>
      </c>
      <c r="G65" t="inlineStr">
        <is>
          <t>https://arxiv.org/abs/2601.02698</t>
        </is>
      </c>
      <c r="H65" t="inlineStr">
        <is>
          <t>ya</t>
        </is>
      </c>
      <c r="I65" t="inlineStr">
        <is>
          <t>proposal_only</t>
        </is>
      </c>
      <c r="J65" t="inlineStr">
        <is>
          <t>Enterprise MCP OIDC/OAuth Architecture</t>
        </is>
      </c>
      <c r="K65" t="inlineStr">
        <is>
          <t>deterministic_policy</t>
        </is>
      </c>
      <c r="L65" t="inlineStr">
        <is>
          <t>Arsitektur integrasi identitas enterprise berbasis OAuth 2.0/OIDC (PKCE dan JWKS) untuk memetakan otorisasi least-privilege pada pemanggilan tool MCP di IDE.</t>
        </is>
      </c>
      <c r="M65" t="inlineStr">
        <is>
          <t>tidak</t>
        </is>
      </c>
      <c r="N65" t="inlineStr">
        <is>
          <t>gateway_proxy</t>
        </is>
      </c>
      <c r="O65" t="inlineStr">
        <is>
          <t>R1;R3;R4</t>
        </is>
      </c>
      <c r="P65" t="inlineStr">
        <is>
          <t>C1;C3</t>
        </is>
      </c>
      <c r="Q65" t="inlineStr"/>
      <c r="R65" t="inlineStr">
        <is>
          <t>none</t>
        </is>
      </c>
      <c r="S65" t="inlineStr"/>
      <c r="T65" t="inlineStr">
        <is>
          <t>none</t>
        </is>
      </c>
      <c r="U65" t="inlineStr">
        <is>
          <t>n/a_tanpa_evaluasi</t>
        </is>
      </c>
      <c r="V65" t="inlineStr"/>
      <c r="W65" t="inlineStr">
        <is>
          <t>Sec. 5, hal. 8-10</t>
        </is>
      </c>
      <c r="X65" t="inlineStr">
        <is>
          <t>none</t>
        </is>
      </c>
      <c r="Y65" t="inlineStr">
        <is>
          <t>dilaporkan: latensi validasi token JWKS 25-35 ms (Sec. 5.3)</t>
        </is>
      </c>
      <c r="Z65" t="inlineStr">
        <is>
          <t>Pola arsitektur integrasi OAuth 2.0/OIDC enterprise untuk server MCP dengan studi kasus implementasi VS Code dan Keycloak tanpa evaluasi dataset serangan empiris (L0). Catatan deployment: prototipe internal/eksperimental (belum dirilis secara publik).</t>
        </is>
      </c>
      <c r="AA65" t="inlineStr">
        <is>
          <t>L0</t>
        </is>
      </c>
      <c r="AB65" t="inlineStr"/>
      <c r="AC65" t="inlineStr">
        <is>
          <t>include</t>
        </is>
      </c>
      <c r="AD65" t="inlineStr"/>
      <c r="AE65" t="inlineStr"/>
      <c r="AF65" t="inlineStr">
        <is>
          <t>Baseline (148-corpus)</t>
        </is>
      </c>
      <c r="AG65" t="inlineStr">
        <is>
          <t>L0</t>
        </is>
      </c>
      <c r="AH65" t="inlineStr">
        <is>
          <t>N/A</t>
        </is>
      </c>
    </row>
    <row r="66">
      <c r="A66" t="inlineStr">
        <is>
          <t>mohammad-2026-formal-security-framework-model-context</t>
        </is>
      </c>
      <c r="B66" t="inlineStr">
        <is>
          <t>A Formal Security Framework for Model Context Protocol-Based Tool Access inAgentic AI Systems</t>
        </is>
      </c>
      <c r="C66" t="n">
        <v>2026</v>
      </c>
      <c r="D66" t="inlineStr">
        <is>
          <t>E2</t>
        </is>
      </c>
      <c r="E66" t="inlineStr">
        <is>
          <t>scan_cepat</t>
        </is>
      </c>
      <c r="F66" t="inlineStr">
        <is>
          <t>none</t>
        </is>
      </c>
      <c r="G66" t="inlineStr">
        <is>
          <t>https://doi.org/10.2139/ssrn.6891368</t>
        </is>
      </c>
      <c r="H66" t="inlineStr">
        <is>
          <t>ya</t>
        </is>
      </c>
      <c r="I66" t="inlineStr">
        <is>
          <t>defense_primary</t>
        </is>
      </c>
      <c r="J66" t="inlineStr">
        <is>
          <t>FSM-MCP</t>
        </is>
      </c>
      <c r="K66" t="inlineStr">
        <is>
          <t>deterministic_policy</t>
        </is>
      </c>
      <c r="L66" t="inlineStr">
        <is>
          <t>FSM-MCP memodelkan interaksi klien-server MCP sebagai mesin keadaan hingga dengan empat mekanisme penegakan: signed manifests, capability-scoped tokens, context sanitization, dan message authentication.</t>
        </is>
      </c>
      <c r="M66" t="inlineStr">
        <is>
          <t>tidak</t>
        </is>
      </c>
      <c r="N66" t="inlineStr">
        <is>
          <t>gateway_proxy</t>
        </is>
      </c>
      <c r="O66" t="inlineStr">
        <is>
          <t>R1;R2;R3;R4;R7</t>
        </is>
      </c>
      <c r="P66" t="inlineStr">
        <is>
          <t>A1;A2;C1;C3;D3</t>
        </is>
      </c>
      <c r="Q66" t="inlineStr">
        <is>
          <t>A2;C1;C3</t>
        </is>
      </c>
      <c r="R66" t="inlineStr">
        <is>
          <t>author_run</t>
        </is>
      </c>
      <c r="S66" t="inlineStr"/>
      <c r="T66" t="inlineStr">
        <is>
          <t>authors_own</t>
        </is>
      </c>
      <c r="U66" t="inlineStr">
        <is>
          <t>tidak</t>
        </is>
      </c>
      <c r="V66" t="inlineStr"/>
      <c r="W66" t="inlineStr">
        <is>
          <t>Sec. 5, simulasi 3.000 jejak</t>
        </is>
      </c>
      <c r="X66" t="inlineStr">
        <is>
          <t>none</t>
        </is>
      </c>
      <c r="Y66" t="inlineStr">
        <is>
          <t>not_reported</t>
        </is>
      </c>
      <c r="Z66" t="inlineStr">
        <is>
          <t>Kerangka formal FSM-MCP dengan 4 mekanisme penegakan yang dievaluasi penulis melalui 3.000 jejak simulasi. Penulis menyatakan ketahanan adaptif belum dievaluasi.</t>
        </is>
      </c>
      <c r="AA66" t="inlineStr">
        <is>
          <t>L1</t>
        </is>
      </c>
      <c r="AB66" t="inlineStr"/>
      <c r="AC66" t="inlineStr">
        <is>
          <t>include</t>
        </is>
      </c>
      <c r="AD66" t="inlineStr"/>
      <c r="AE66" t="inlineStr"/>
      <c r="AF66" t="inlineStr">
        <is>
          <t>Baseline (148-corpus)</t>
        </is>
      </c>
      <c r="AG66" t="inlineStr">
        <is>
          <t>L1</t>
        </is>
      </c>
      <c r="AH66" t="inlineStr">
        <is>
          <t>No</t>
        </is>
      </c>
    </row>
    <row r="67">
      <c r="A67" t="inlineStr">
        <is>
          <t>om-2026-chainwatch-kill-chain-aligned-sequential</t>
        </is>
      </c>
      <c r="B67" t="inlineStr">
        <is>
          <t>ChainWatch: A Kill Chain-Aligned Sequential Detection Framework for Multi-Step Attacks in MCP-Based AI Agent Systems</t>
        </is>
      </c>
      <c r="C67" t="n">
        <v>2026</v>
      </c>
      <c r="D67" t="inlineStr">
        <is>
          <t>E2</t>
        </is>
      </c>
      <c r="E67" t="inlineStr">
        <is>
          <t>scan_cepat</t>
        </is>
      </c>
      <c r="F67" t="inlineStr">
        <is>
          <t>none</t>
        </is>
      </c>
      <c r="G67" t="inlineStr">
        <is>
          <t>https://arxiv.org/abs/2607.19432</t>
        </is>
      </c>
      <c r="H67" t="inlineStr">
        <is>
          <t>ya</t>
        </is>
      </c>
      <c r="I67" t="inlineStr">
        <is>
          <t>defense_primary</t>
        </is>
      </c>
      <c r="J67" t="inlineStr">
        <is>
          <t>ChainWatch</t>
        </is>
      </c>
      <c r="K67" t="inlineStr">
        <is>
          <t>content_inspection_runtime</t>
        </is>
      </c>
      <c r="L67" t="inlineStr">
        <is>
          <t>Kerangka deteksi sekuensial yang menyelaraskan urutan pemanggilan tool MCP dengan tahapan kill chain untuk mendeteksi serangan multi-langkah yang lolos dari pemeriksaan per-panggilan.</t>
        </is>
      </c>
      <c r="M67" t="inlineStr">
        <is>
          <t>ya</t>
        </is>
      </c>
      <c r="N67" t="inlineStr">
        <is>
          <t>H</t>
        </is>
      </c>
      <c r="O67" t="inlineStr">
        <is>
          <t>R2;R3;R5</t>
        </is>
      </c>
      <c r="P67" t="inlineStr">
        <is>
          <t>D1;D2</t>
        </is>
      </c>
      <c r="Q67" t="inlineStr"/>
      <c r="R67" t="inlineStr">
        <is>
          <t>none</t>
        </is>
      </c>
      <c r="S67" t="inlineStr"/>
      <c r="T67" t="inlineStr">
        <is>
          <t>none</t>
        </is>
      </c>
      <c r="U67" t="inlineStr">
        <is>
          <t>n/a_tanpa_evaluasi</t>
        </is>
      </c>
      <c r="V67" t="inlineStr"/>
      <c r="W67" t="inlineStr">
        <is>
          <t>Sec. 3, Gbr 2, hal. 5-7</t>
        </is>
      </c>
      <c r="X67" t="inlineStr">
        <is>
          <t>none</t>
        </is>
      </c>
      <c r="Y67" t="inlineStr">
        <is>
          <t>not_reported</t>
        </is>
      </c>
      <c r="Z67" t="inlineStr">
        <is>
          <t>Rancangan kerangka kerja deteksi sekuensial ChainWatch untuk serangan multi-langkah MCP; dievaluasi melalui analisis skenario naratif tanpa evaluasi eksperimental empiris (L0).</t>
        </is>
      </c>
      <c r="AA67" t="inlineStr">
        <is>
          <t>L0</t>
        </is>
      </c>
      <c r="AB67" t="inlineStr"/>
      <c r="AC67" t="inlineStr">
        <is>
          <t>include</t>
        </is>
      </c>
      <c r="AD67" t="inlineStr"/>
      <c r="AE67" t="inlineStr"/>
      <c r="AF67" t="inlineStr">
        <is>
          <t>Baseline (148-corpus)</t>
        </is>
      </c>
      <c r="AG67" t="inlineStr">
        <is>
          <t>L0</t>
        </is>
      </c>
      <c r="AH67" t="inlineStr">
        <is>
          <t>N/A</t>
        </is>
      </c>
    </row>
    <row r="68">
      <c r="A68" t="inlineStr">
        <is>
          <t>saeid-2026-game-theoretic-multi-agent-control</t>
        </is>
      </c>
      <c r="B68" t="inlineStr">
        <is>
          <t>Game-Theoretic Multi-Agent Control for Robust Contextual Reasoning in LLMs</t>
        </is>
      </c>
      <c r="C68" t="n">
        <v>2026</v>
      </c>
      <c r="D68" t="inlineStr">
        <is>
          <t>E2</t>
        </is>
      </c>
      <c r="E68" t="inlineStr">
        <is>
          <t>scan_cepat</t>
        </is>
      </c>
      <c r="F68" t="inlineStr">
        <is>
          <t>none</t>
        </is>
      </c>
      <c r="G68" t="inlineStr">
        <is>
          <t>https://arxiv.org/abs/2606.10322</t>
        </is>
      </c>
      <c r="H68" t="inlineStr">
        <is>
          <t>ya</t>
        </is>
      </c>
      <c r="I68" t="inlineStr">
        <is>
          <t>defense_primary</t>
        </is>
      </c>
      <c r="J68" t="inlineStr">
        <is>
          <t>GT-MCP</t>
        </is>
      </c>
      <c r="K68" t="inlineStr">
        <is>
          <t>content_inspection_runtime</t>
        </is>
      </c>
      <c r="L68" t="inlineStr">
        <is>
          <t>Kontroler multi-agen berbasis teori permainan yang memvalidasi graf kausal, mengagregasi skor kepercayaan, dan menerapkan pemulihan konteks (rollback) terhadap manipulasi konteks multi-turn.</t>
        </is>
      </c>
      <c r="M68" t="inlineStr">
        <is>
          <t>ya</t>
        </is>
      </c>
      <c r="N68" t="inlineStr">
        <is>
          <t>H</t>
        </is>
      </c>
      <c r="O68" t="inlineStr">
        <is>
          <t>R2;R6</t>
        </is>
      </c>
      <c r="P68" t="inlineStr">
        <is>
          <t>A2;D2</t>
        </is>
      </c>
      <c r="Q68" t="inlineStr">
        <is>
          <t>A2;D2</t>
        </is>
      </c>
      <c r="R68" t="inlineStr">
        <is>
          <t>author_run</t>
        </is>
      </c>
      <c r="S68" t="inlineStr"/>
      <c r="T68" t="inlineStr">
        <is>
          <t>authors_own</t>
        </is>
      </c>
      <c r="U68" t="inlineStr">
        <is>
          <t>tidak</t>
        </is>
      </c>
      <c r="V68" t="inlineStr"/>
      <c r="W68" t="inlineStr">
        <is>
          <t>Sec. V, Tables VII-XIII, Fig. 2-6</t>
        </is>
      </c>
      <c r="X68" t="inlineStr">
        <is>
          <t>none</t>
        </is>
      </c>
      <c r="Y68" t="inlineStr">
        <is>
          <t>dilaporkan: profil utilitas dan latensi pemilihan kandidat agen (Tabel XI &amp; XII)</t>
        </is>
      </c>
      <c r="Z68" t="inlineStr">
        <is>
          <t>Kerangka kerja GT-MCP untuk kontrol konteks multi-turn berbasis teori permainan dan agregasi kepercayaan multi-agen.</t>
        </is>
      </c>
      <c r="AA68" t="inlineStr">
        <is>
          <t>L1</t>
        </is>
      </c>
      <c r="AB68" t="inlineStr"/>
      <c r="AC68" t="inlineStr">
        <is>
          <t>include</t>
        </is>
      </c>
      <c r="AD68" t="inlineStr"/>
      <c r="AE68" t="inlineStr"/>
      <c r="AF68" t="inlineStr">
        <is>
          <t>Baseline (148-corpus)</t>
        </is>
      </c>
      <c r="AG68" t="inlineStr">
        <is>
          <t>L1</t>
        </is>
      </c>
      <c r="AH68" t="inlineStr">
        <is>
          <t>No</t>
        </is>
      </c>
    </row>
    <row r="69">
      <c r="A69" t="inlineStr">
        <is>
          <t>sunil-2026-aip-agent-identity-protocol-verifiable</t>
        </is>
      </c>
      <c r="B69" t="inlineStr">
        <is>
          <t>AIP: Agent Identity Protocol for Verifiable Delegation Across MCP and A2A</t>
        </is>
      </c>
      <c r="C69" t="n">
        <v>2026</v>
      </c>
      <c r="D69" t="inlineStr">
        <is>
          <t>E2</t>
        </is>
      </c>
      <c r="E69" t="inlineStr">
        <is>
          <t>scan_cepat</t>
        </is>
      </c>
      <c r="F69" t="inlineStr">
        <is>
          <t>none</t>
        </is>
      </c>
      <c r="G69" t="inlineStr">
        <is>
          <t>https://arxiv.org/abs/2603.24775</t>
        </is>
      </c>
      <c r="H69" t="inlineStr">
        <is>
          <t>ya</t>
        </is>
      </c>
      <c r="I69" t="inlineStr">
        <is>
          <t>defense_primary</t>
        </is>
      </c>
      <c r="J69" t="inlineStr">
        <is>
          <t>AIP</t>
        </is>
      </c>
      <c r="K69" t="inlineStr">
        <is>
          <t>capability_or_token</t>
        </is>
      </c>
      <c r="L69" t="inlineStr">
        <is>
          <t>Protokol identitas agen (AIP) dengan pendelegasian terverifikasi kunci publik, atenuasi hak akses berbasis pemegang, dan pengikatan transport MCP untuk mencegah peniruan identitas agen.</t>
        </is>
      </c>
      <c r="M69" t="inlineStr">
        <is>
          <t>tidak</t>
        </is>
      </c>
      <c r="N69" t="inlineStr">
        <is>
          <t>gateway_proxy</t>
        </is>
      </c>
      <c r="O69" t="inlineStr">
        <is>
          <t>R1;R3;R4</t>
        </is>
      </c>
      <c r="P69" t="inlineStr">
        <is>
          <t>C1;C2;C3</t>
        </is>
      </c>
      <c r="Q69" t="inlineStr">
        <is>
          <t>C1;C2;C3</t>
        </is>
      </c>
      <c r="R69" t="inlineStr">
        <is>
          <t>author_run</t>
        </is>
      </c>
      <c r="S69" t="inlineStr"/>
      <c r="T69" t="inlineStr">
        <is>
          <t>authors_own</t>
        </is>
      </c>
      <c r="U69" t="inlineStr">
        <is>
          <t>tidak</t>
        </is>
      </c>
      <c r="V69" t="inlineStr"/>
      <c r="W69" t="inlineStr">
        <is>
          <t>Sec. 5, Table 1-3, hal. 11-13</t>
        </is>
      </c>
      <c r="X69" t="inlineStr">
        <is>
          <t>prototype_open_source</t>
        </is>
      </c>
      <c r="Y69" t="inlineStr">
        <is>
          <t>dilaporkan: overhead sub-milidetik pada HTTP riil (Sec. 5.2)</t>
        </is>
      </c>
      <c r="Z69" t="inlineStr">
        <is>
          <t>Protokol AIP untuk identitas agen dan delegasi berantai terverifikasi kriptografis pada MCP. Repositori/artefak: https://github.com/sunilp/aip.</t>
        </is>
      </c>
      <c r="AA69" t="inlineStr">
        <is>
          <t>L1</t>
        </is>
      </c>
      <c r="AB69" t="inlineStr"/>
      <c r="AC69" t="inlineStr">
        <is>
          <t>include</t>
        </is>
      </c>
      <c r="AD69" t="inlineStr"/>
      <c r="AE69" t="inlineStr"/>
      <c r="AF69" t="inlineStr">
        <is>
          <t>Baseline (148-corpus)</t>
        </is>
      </c>
      <c r="AG69" t="inlineStr">
        <is>
          <t>L1</t>
        </is>
      </c>
      <c r="AH69" t="inlineStr">
        <is>
          <t>No</t>
        </is>
      </c>
    </row>
    <row r="70">
      <c r="A70" t="inlineStr">
        <is>
          <t>ting-2026-tool-connection-execution-control-benchmarking</t>
        </is>
      </c>
      <c r="B70" t="inlineStr">
        <is>
          <t>From Tool Connection to Execution Control: Benchmarking Security Invariants in MCP-Style Agent Runtimes</t>
        </is>
      </c>
      <c r="C70" t="n">
        <v>2026</v>
      </c>
      <c r="D70" t="inlineStr">
        <is>
          <t>E2</t>
        </is>
      </c>
      <c r="E70" t="inlineStr">
        <is>
          <t>scan_cepat</t>
        </is>
      </c>
      <c r="F70" t="inlineStr">
        <is>
          <t>none</t>
        </is>
      </c>
      <c r="G70" t="inlineStr">
        <is>
          <t>https://arxiv.org/abs/2606.29073</t>
        </is>
      </c>
      <c r="H70" t="inlineStr">
        <is>
          <t>ya</t>
        </is>
      </c>
      <c r="I70" t="inlineStr">
        <is>
          <t>defense_primary</t>
        </is>
      </c>
      <c r="J70" t="inlineStr">
        <is>
          <t>HCP Runtime</t>
        </is>
      </c>
      <c r="K70" t="inlineStr">
        <is>
          <t>capability_or_token</t>
        </is>
      </c>
      <c r="L70" t="inlineStr">
        <is>
          <t>Runtime broker yang menegakkan 8 invarian keamanan (metadata non-authoritative, grant-backed approval, capability handle) untuk memisahkan koneksi tool dari kontrol eksekusi pada MCP.</t>
        </is>
      </c>
      <c r="M70" t="inlineStr">
        <is>
          <t>tidak</t>
        </is>
      </c>
      <c r="N70" t="inlineStr">
        <is>
          <t>gateway_proxy</t>
        </is>
      </c>
      <c r="O70" t="inlineStr">
        <is>
          <t>R1;R2;R3;R5</t>
        </is>
      </c>
      <c r="P70" t="inlineStr">
        <is>
          <t>A1;C1;C5;D1</t>
        </is>
      </c>
      <c r="Q70" t="inlineStr">
        <is>
          <t>A1;C1;C5;D1</t>
        </is>
      </c>
      <c r="R70" t="inlineStr">
        <is>
          <t>author_run</t>
        </is>
      </c>
      <c r="S70" t="inlineStr"/>
      <c r="T70" t="inlineStr">
        <is>
          <t>authors_own</t>
        </is>
      </c>
      <c r="U70" t="inlineStr">
        <is>
          <t>tidak</t>
        </is>
      </c>
      <c r="V70" t="inlineStr"/>
      <c r="W70" t="inlineStr">
        <is>
          <t>Sec. 7, Table 4 &amp; 6, hal. 8-11</t>
        </is>
      </c>
      <c r="X70" t="inlineStr">
        <is>
          <t>prototype_open_source</t>
        </is>
      </c>
      <c r="Y70" t="inlineStr">
        <is>
          <t>dilaporkan: overhead in-memory mikrodetik (Tabel 6)</t>
        </is>
      </c>
      <c r="Z70" t="inlineStr">
        <is>
          <t>HCP Runtime mengimplementasikan sistem broker berbasis capability handle dan invarian tata kelola eksekusi untuk MCP. Repositori/artefak: https://github.com/SymbolicLight-AGI/handle-capability-protocol.</t>
        </is>
      </c>
      <c r="AA70" t="inlineStr">
        <is>
          <t>L1</t>
        </is>
      </c>
      <c r="AB70" t="inlineStr"/>
      <c r="AC70" t="inlineStr">
        <is>
          <t>include</t>
        </is>
      </c>
      <c r="AD70" t="inlineStr"/>
      <c r="AE70" t="inlineStr"/>
      <c r="AF70" t="inlineStr">
        <is>
          <t>Baseline (148-corpus)</t>
        </is>
      </c>
      <c r="AG70" t="inlineStr">
        <is>
          <t>L1</t>
        </is>
      </c>
      <c r="AH70" t="inlineStr">
        <is>
          <t>No</t>
        </is>
      </c>
    </row>
    <row r="71">
      <c r="A71" t="inlineStr">
        <is>
          <t>xinyi-2026-unsafe-flow-uncovering-bidirectional-data</t>
        </is>
      </c>
      <c r="B71" t="inlineStr">
        <is>
          <t>Unsafe by Flow: Uncovering Bidirectional Data-Flow Risks in MCP Ecosystem</t>
        </is>
      </c>
      <c r="C71" t="n">
        <v>2026</v>
      </c>
      <c r="D71" t="inlineStr">
        <is>
          <t>E2</t>
        </is>
      </c>
      <c r="E71" t="inlineStr">
        <is>
          <t>scan_cepat</t>
        </is>
      </c>
      <c r="F71" t="inlineStr">
        <is>
          <t>none</t>
        </is>
      </c>
      <c r="G71" t="inlineStr">
        <is>
          <t>https://arxiv.org/abs/2605.07836</t>
        </is>
      </c>
      <c r="H71" t="inlineStr">
        <is>
          <t>ya</t>
        </is>
      </c>
      <c r="I71" t="inlineStr">
        <is>
          <t>defense_primary</t>
        </is>
      </c>
      <c r="J71" t="inlineStr">
        <is>
          <t>MCP-BiFlow</t>
        </is>
      </c>
      <c r="K71" t="inlineStr">
        <is>
          <t>content_inspection_static</t>
        </is>
      </c>
      <c r="L71" t="inlineStr">
        <is>
          <t>Penganalisis aliran data dua arah (MCP-BiFlow) yang melacak propagasi taint dari argumen peminta ke operasi sensitif serta paparan data tidak tepercaya pada output MCP.</t>
        </is>
      </c>
      <c r="M71" t="inlineStr">
        <is>
          <t>tidak</t>
        </is>
      </c>
      <c r="N71" t="inlineStr">
        <is>
          <t>offline_analysis</t>
        </is>
      </c>
      <c r="O71" t="inlineStr">
        <is>
          <t>R2;R5</t>
        </is>
      </c>
      <c r="P71" t="inlineStr">
        <is>
          <t>A2;C5;D1</t>
        </is>
      </c>
      <c r="Q71" t="inlineStr">
        <is>
          <t>A2;C5;D1</t>
        </is>
      </c>
      <c r="R71" t="inlineStr">
        <is>
          <t>author_run</t>
        </is>
      </c>
      <c r="S71" t="inlineStr"/>
      <c r="T71" t="inlineStr">
        <is>
          <t>third_party_public</t>
        </is>
      </c>
      <c r="U71" t="inlineStr">
        <is>
          <t>tidak</t>
        </is>
      </c>
      <c r="V71" t="inlineStr"/>
      <c r="W71" t="inlineStr">
        <is>
          <t>Sec. 4, Table 1-3, hal. 6-9</t>
        </is>
      </c>
      <c r="X71" t="inlineStr">
        <is>
          <t>none</t>
        </is>
      </c>
      <c r="Y71" t="inlineStr">
        <is>
          <t>dilaporkan: waktu analisis aliran data (Sec. 4)</t>
        </is>
      </c>
      <c r="Z71" t="inlineStr">
        <is>
          <t>MCP-BiFlow mengevaluasi deteksi aliran data dua arah pada 859 instans kerentanan server MCP riil. Catatan deployment: prototipe internal/eksperimental (belum dirilis secara publik).</t>
        </is>
      </c>
      <c r="AA71" t="inlineStr">
        <is>
          <t>L1</t>
        </is>
      </c>
      <c r="AB71" t="inlineStr"/>
      <c r="AC71" t="inlineStr">
        <is>
          <t>include</t>
        </is>
      </c>
      <c r="AD71" t="inlineStr"/>
      <c r="AE71" t="inlineStr"/>
      <c r="AF71" t="inlineStr">
        <is>
          <t>Baseline (148-corpus)</t>
        </is>
      </c>
      <c r="AG71" t="inlineStr">
        <is>
          <t>L1</t>
        </is>
      </c>
      <c r="AH71" t="inlineStr">
        <is>
          <t>No</t>
        </is>
      </c>
    </row>
    <row r="72">
      <c r="A72" t="inlineStr">
        <is>
          <t>yuval-2026-tool-orchestration-code-execution-study</t>
        </is>
      </c>
      <c r="B72" t="inlineStr">
        <is>
          <t>From Tool Orchestration to Code Execution: A Study of MCP Design Choices</t>
        </is>
      </c>
      <c r="C72" t="n">
        <v>2026</v>
      </c>
      <c r="D72" t="inlineStr">
        <is>
          <t>E2</t>
        </is>
      </c>
      <c r="E72" t="inlineStr">
        <is>
          <t>scan_cepat</t>
        </is>
      </c>
      <c r="F72" t="inlineStr">
        <is>
          <t>none</t>
        </is>
      </c>
      <c r="G72" t="inlineStr">
        <is>
          <t>https://arxiv.org/abs/2602.15945</t>
        </is>
      </c>
      <c r="H72" t="inlineStr">
        <is>
          <t>ya</t>
        </is>
      </c>
      <c r="I72" t="inlineStr">
        <is>
          <t>defense_secondary</t>
        </is>
      </c>
      <c r="J72" t="inlineStr">
        <is>
          <t>CE-MCP</t>
        </is>
      </c>
      <c r="K72" t="inlineStr">
        <is>
          <t>isolation_containment</t>
        </is>
      </c>
      <c r="L72" t="inlineStr">
        <is>
          <t>Arsitektur eksekusi kode terisolasi (CE-MCP) yang mendelegasikan orkestrasi alat MCP ke dalam runtime sandbox untuk mengisolasi batas kepercayaan dan memitigasi eksploitasi konteks.</t>
        </is>
      </c>
      <c r="M72" t="inlineStr">
        <is>
          <t>tidak</t>
        </is>
      </c>
      <c r="N72" t="inlineStr">
        <is>
          <t>gateway_proxy</t>
        </is>
      </c>
      <c r="O72" t="inlineStr">
        <is>
          <t>R5;R6</t>
        </is>
      </c>
      <c r="P72" t="inlineStr">
        <is>
          <t>C5;D1</t>
        </is>
      </c>
      <c r="Q72" t="inlineStr">
        <is>
          <t>C5;D1</t>
        </is>
      </c>
      <c r="R72" t="inlineStr">
        <is>
          <t>author_run</t>
        </is>
      </c>
      <c r="S72" t="inlineStr"/>
      <c r="T72" t="inlineStr">
        <is>
          <t>third_party_public</t>
        </is>
      </c>
      <c r="U72" t="inlineStr">
        <is>
          <t>tidak</t>
        </is>
      </c>
      <c r="V72" t="inlineStr"/>
      <c r="W72" t="inlineStr">
        <is>
          <t>Sec. 6, Table 2-4, hal. 7-10</t>
        </is>
      </c>
      <c r="X72" t="inlineStr">
        <is>
          <t>none</t>
        </is>
      </c>
      <c r="Y72" t="inlineStr">
        <is>
          <t>dilaporkan: penghematan konsumsi token dan waktu eksekusi (Sec. 6.2)</t>
        </is>
      </c>
      <c r="Z72" t="inlineStr">
        <is>
          <t>Studi komparasi orkestrasi MCP vs eksekusi kode terisolasi sandbox (CE-MCP) pada benchmark MCP-Bench. Catatan deployment: prototipe internal/eksperimental (belum dirilis secara publik).</t>
        </is>
      </c>
      <c r="AA72" t="inlineStr">
        <is>
          <t>L1</t>
        </is>
      </c>
      <c r="AB72" t="inlineStr"/>
      <c r="AC72" t="inlineStr">
        <is>
          <t>include</t>
        </is>
      </c>
      <c r="AD72" t="inlineStr"/>
      <c r="AE72" t="inlineStr"/>
      <c r="AF72" t="inlineStr">
        <is>
          <t>Baseline (148-corpus)</t>
        </is>
      </c>
      <c r="AG72" t="inlineStr">
        <is>
          <t>L1</t>
        </is>
      </c>
      <c r="AH72" t="inlineStr">
        <is>
          <t>No</t>
        </is>
      </c>
    </row>
    <row r="73">
      <c r="A73" t="inlineStr">
        <is>
          <t>beyond-detection-autonomous-2026</t>
        </is>
      </c>
      <c r="B73" t="inlineStr">
        <is>
          <t>Beyond Detection: Autonomous Anomaly Remediation for MCP Against Tool Poisoning Attacks</t>
        </is>
      </c>
      <c r="C73" t="n">
        <v>2026</v>
      </c>
      <c r="D73" t="inlineStr">
        <is>
          <t>E1</t>
        </is>
      </c>
      <c r="E73" t="inlineStr">
        <is>
          <t>kandidat_agent</t>
        </is>
      </c>
      <c r="F73" t="inlineStr">
        <is>
          <t>primary</t>
        </is>
      </c>
      <c r="G73" t="inlineStr">
        <is>
          <t>https://doi.org/10.1145/3774904.3792400</t>
        </is>
      </c>
      <c r="H73" t="inlineStr">
        <is>
          <t>ya</t>
        </is>
      </c>
      <c r="I73" t="inlineStr">
        <is>
          <t>defense_primary</t>
        </is>
      </c>
      <c r="J73" t="inlineStr">
        <is>
          <t>MCPFixGen</t>
        </is>
      </c>
      <c r="K73" t="inlineStr">
        <is>
          <t>content_inspection_runtime</t>
        </is>
      </c>
      <c r="L73" t="inlineStr">
        <is>
          <t>Menempatkan checkpoint pada operasi alat berisiko tinggi dan memantau anomali lewat aktivasi atensi, lalu melakukan backtracking dengan masking atensi untuk memicu re-inferensi LLM bebas konteks racun.</t>
        </is>
      </c>
      <c r="M73" t="inlineStr">
        <is>
          <t>ya</t>
        </is>
      </c>
      <c r="N73" t="inlineStr">
        <is>
          <t>gateway_proxy</t>
        </is>
      </c>
      <c r="O73" t="inlineStr">
        <is>
          <t>R2</t>
        </is>
      </c>
      <c r="P73" t="inlineStr">
        <is>
          <t>A1;A2</t>
        </is>
      </c>
      <c r="Q73" t="inlineStr">
        <is>
          <t>A1;A2</t>
        </is>
      </c>
      <c r="R73" t="inlineStr">
        <is>
          <t>author_run</t>
        </is>
      </c>
      <c r="S73" t="inlineStr"/>
      <c r="T73" t="inlineStr">
        <is>
          <t>authors_own</t>
        </is>
      </c>
      <c r="U73" t="inlineStr">
        <is>
          <t>tidak</t>
        </is>
      </c>
      <c r="V73" t="inlineStr"/>
      <c r="W73" t="inlineStr">
        <is>
          <t>Abstract; Section 5 (WWW 2026)</t>
        </is>
      </c>
      <c r="X73" t="inlineStr">
        <is>
          <t>prototype_open_source</t>
        </is>
      </c>
      <c r="Y73" t="inlineStr">
        <is>
          <t>ASR tool poisoning turun &lt;0.3%, interupsi &lt;13%</t>
        </is>
      </c>
      <c r="Z73" t="inlineStr">
        <is>
          <t>Kerangka kerja deteksi anomali dan remediasi otonom berbasis rollback multi-checkpoint dan attention mask untuk memitigasi tool poisoning pada ekosistem web MCP.</t>
        </is>
      </c>
      <c r="AA73" t="inlineStr"/>
      <c r="AB73" t="inlineStr"/>
      <c r="AC73" t="inlineStr">
        <is>
          <t>include</t>
        </is>
      </c>
      <c r="AD73" t="inlineStr"/>
      <c r="AE73" t="inlineStr">
        <is>
          <t>Supplementary search Scopus/ACM (WWW 2026 CORE A*)</t>
        </is>
      </c>
      <c r="AF73" t="inlineStr">
        <is>
          <t>Supplementary (IEEE/ACM/Scopus)</t>
        </is>
      </c>
      <c r="AG73" t="inlineStr">
        <is>
          <t>L1</t>
        </is>
      </c>
      <c r="AH73" t="inlineStr">
        <is>
          <t>No</t>
        </is>
      </c>
    </row>
    <row r="74">
      <c r="A74" t="inlineStr">
        <is>
          <t>attestation-aware-authorization-for-2026</t>
        </is>
      </c>
      <c r="B74" t="inlineStr">
        <is>
          <t>Entitlement-Aware Authorization for MCP-Based AI Search and Chat Systems</t>
        </is>
      </c>
      <c r="C74" t="n">
        <v>2026</v>
      </c>
      <c r="D74" t="inlineStr">
        <is>
          <t>E1</t>
        </is>
      </c>
      <c r="E74" t="inlineStr">
        <is>
          <t>kandidat_agent</t>
        </is>
      </c>
      <c r="F74" t="inlineStr">
        <is>
          <t>primary</t>
        </is>
      </c>
      <c r="G74" t="inlineStr">
        <is>
          <t>https://doi.org/10.1109/ICAISET66439.2026.11541974</t>
        </is>
      </c>
      <c r="H74" t="inlineStr">
        <is>
          <t>ya</t>
        </is>
      </c>
      <c r="I74" t="inlineStr">
        <is>
          <t>defense_primary</t>
        </is>
      </c>
      <c r="J74" t="inlineStr">
        <is>
          <t>unnamed:entitlement-pdp-pep</t>
        </is>
      </c>
      <c r="K74" t="inlineStr">
        <is>
          <t>deterministic_policy</t>
        </is>
      </c>
      <c r="L74" t="inlineStr">
        <is>
          <t>Menempatkan PDP dan PEP per-tool antara orkestrator AI dan back-end yang mengevaluasi identitas teratestasi end-user serta atributnya untuk membatasi pemanggilan tool dan memfilter baris data.</t>
        </is>
      </c>
      <c r="M74" t="inlineStr">
        <is>
          <t>tidak</t>
        </is>
      </c>
      <c r="N74" t="inlineStr">
        <is>
          <t>gateway_proxy</t>
        </is>
      </c>
      <c r="O74" t="inlineStr">
        <is>
          <t>R3;R4</t>
        </is>
      </c>
      <c r="P74" t="inlineStr">
        <is>
          <t>C1;C2;C3</t>
        </is>
      </c>
      <c r="Q74" t="inlineStr">
        <is>
          <t>C1;C2;C3</t>
        </is>
      </c>
      <c r="R74" t="inlineStr">
        <is>
          <t>author_run</t>
        </is>
      </c>
      <c r="S74" t="inlineStr"/>
      <c r="T74" t="inlineStr">
        <is>
          <t>authors_own</t>
        </is>
      </c>
      <c r="U74" t="inlineStr">
        <is>
          <t>tidak</t>
        </is>
      </c>
      <c r="V74" t="inlineStr"/>
      <c r="W74" t="inlineStr">
        <is>
          <t>Abstract; Section 4 (ICAISET 2026)</t>
        </is>
      </c>
      <c r="X74" t="inlineStr">
        <is>
          <t>none</t>
        </is>
      </c>
      <c r="Y74" t="inlineStr">
        <is>
          <t>not_reported</t>
        </is>
      </c>
      <c r="Z74" t="inlineStr">
        <is>
          <t>Arsitektur PDP/PEP deterministik eksternal berbasis OAuth 2.1/JWT untuk otorisasi atribut dan pembatasan baris data enterprise.</t>
        </is>
      </c>
      <c r="AA74" t="inlineStr"/>
      <c r="AB74" t="inlineStr"/>
      <c r="AC74" t="inlineStr">
        <is>
          <t>include</t>
        </is>
      </c>
      <c r="AD74" t="inlineStr"/>
      <c r="AE74" t="inlineStr">
        <is>
          <t>Supplementary search IEEE+Scopus (ICAISET 2026)</t>
        </is>
      </c>
      <c r="AF74" t="inlineStr">
        <is>
          <t>Supplementary (IEEE/ACM/Scopus)</t>
        </is>
      </c>
      <c r="AG74" t="inlineStr">
        <is>
          <t>L1</t>
        </is>
      </c>
      <c r="AH74" t="inlineStr">
        <is>
          <t>No</t>
        </is>
      </c>
    </row>
    <row r="75">
      <c r="A75" t="inlineStr">
        <is>
          <t>secure-mcp-based-toolaugmented-2026</t>
        </is>
      </c>
      <c r="B75" t="inlineStr">
        <is>
          <t>Secure MCP-Based Tool-Augmented RAG for Industrial IoT Diagnostics Under Indirect Prompt Injection, Retrieval Poisoning, and Modality Outages</t>
        </is>
      </c>
      <c r="C75" t="n">
        <v>2026</v>
      </c>
      <c r="D75" t="inlineStr">
        <is>
          <t>E1</t>
        </is>
      </c>
      <c r="E75" t="inlineStr">
        <is>
          <t>kandidat_agent</t>
        </is>
      </c>
      <c r="F75" t="inlineStr">
        <is>
          <t>primary</t>
        </is>
      </c>
      <c r="G75" t="inlineStr">
        <is>
          <t>https://doi.org/10.1109/ICECET65726.2026.11632629</t>
        </is>
      </c>
      <c r="H75" t="inlineStr">
        <is>
          <t>ya</t>
        </is>
      </c>
      <c r="I75" t="inlineStr">
        <is>
          <t>defense_primary</t>
        </is>
      </c>
      <c r="J75" t="inlineStr">
        <is>
          <t>unnamed:defense-in-depth-rag-mediator</t>
        </is>
      </c>
      <c r="K75" t="inlineStr">
        <is>
          <t>content_inspection_runtime</t>
        </is>
      </c>
      <c r="L75" t="inlineStr">
        <is>
          <t>Mengintegrasikan penyaringan konten sadar instruksi, mediasi tool least-privilege, dan penegakan bukti sitasi untuk mencegah injeksi tidak langsung pada RAG diagnostik industri.</t>
        </is>
      </c>
      <c r="M75" t="inlineStr">
        <is>
          <t>ya</t>
        </is>
      </c>
      <c r="N75" t="inlineStr">
        <is>
          <t>gateway_proxy</t>
        </is>
      </c>
      <c r="O75" t="inlineStr">
        <is>
          <t>R2;R5</t>
        </is>
      </c>
      <c r="P75" t="inlineStr">
        <is>
          <t>A1;A2;C5</t>
        </is>
      </c>
      <c r="Q75" t="inlineStr">
        <is>
          <t>A1;A2;C5</t>
        </is>
      </c>
      <c r="R75" t="inlineStr">
        <is>
          <t>author_run</t>
        </is>
      </c>
      <c r="S75" t="inlineStr"/>
      <c r="T75" t="inlineStr">
        <is>
          <t>mixed</t>
        </is>
      </c>
      <c r="U75" t="inlineStr">
        <is>
          <t>tidak</t>
        </is>
      </c>
      <c r="V75" t="inlineStr"/>
      <c r="W75" t="inlineStr">
        <is>
          <t>Abstract; Section 4 (ICECET 2026)</t>
        </is>
      </c>
      <c r="X75" t="inlineStr">
        <is>
          <t>none</t>
        </is>
      </c>
      <c r="Y75" t="inlineStr">
        <is>
          <t>stress-test utility and degradation metrics reported</t>
        </is>
      </c>
      <c r="Z75" t="inlineStr">
        <is>
          <t>Arsitektur pertahanan berlapis pada gateway RAG industri menggabungkan filtering konten sadar instruksi dan pembatasan wewenang tool MCP.</t>
        </is>
      </c>
      <c r="AA75" t="inlineStr"/>
      <c r="AB75" t="inlineStr"/>
      <c r="AC75" t="inlineStr">
        <is>
          <t>include</t>
        </is>
      </c>
      <c r="AD75" t="inlineStr"/>
      <c r="AE75" t="inlineStr">
        <is>
          <t>Supplementary search IEEE+Scopus (ICECET 2026)</t>
        </is>
      </c>
      <c r="AF75" t="inlineStr">
        <is>
          <t>Supplementary (IEEE/ACM/Scopus)</t>
        </is>
      </c>
      <c r="AG75" t="inlineStr">
        <is>
          <t>L1</t>
        </is>
      </c>
      <c r="AH75" t="inlineStr">
        <is>
          <t>No</t>
        </is>
      </c>
    </row>
    <row r="76">
      <c r="A76" t="inlineStr">
        <is>
          <t>guarding-the-gateway-2026</t>
        </is>
      </c>
      <c r="B76" t="inlineStr">
        <is>
          <t>Guarding the Gateway: Securing MCP-Mediated RAG Pipelines Against Injection with the Guru Framework</t>
        </is>
      </c>
      <c r="C76" t="n">
        <v>2026</v>
      </c>
      <c r="D76" t="inlineStr">
        <is>
          <t>E1</t>
        </is>
      </c>
      <c r="E76" t="inlineStr">
        <is>
          <t>kandidat_agent</t>
        </is>
      </c>
      <c r="F76" t="inlineStr">
        <is>
          <t>primary</t>
        </is>
      </c>
      <c r="G76" t="inlineStr">
        <is>
          <t>https://doi.org/10.1109/ICETICS69505.2026.11651315</t>
        </is>
      </c>
      <c r="H76" t="inlineStr">
        <is>
          <t>ya</t>
        </is>
      </c>
      <c r="I76" t="inlineStr">
        <is>
          <t>defense_primary</t>
        </is>
      </c>
      <c r="J76" t="inlineStr">
        <is>
          <t>Guru</t>
        </is>
      </c>
      <c r="K76" t="inlineStr">
        <is>
          <t>content_inspection_runtime</t>
        </is>
      </c>
      <c r="L76" t="inlineStr">
        <is>
          <t>Menerapkan deteksi ancaman entropi, pemeringkatan pengambilan berbasis skor kepercayaan dinamis, pemantauan interaksi, dan isolasi hak akses pada gateway RAG-MCP.</t>
        </is>
      </c>
      <c r="M76" t="inlineStr">
        <is>
          <t>ya</t>
        </is>
      </c>
      <c r="N76" t="inlineStr">
        <is>
          <t>gateway_proxy</t>
        </is>
      </c>
      <c r="O76" t="inlineStr">
        <is>
          <t>R2;R5</t>
        </is>
      </c>
      <c r="P76" t="inlineStr">
        <is>
          <t>A1;A2;C5</t>
        </is>
      </c>
      <c r="Q76" t="inlineStr">
        <is>
          <t>A1;A2;C5</t>
        </is>
      </c>
      <c r="R76" t="inlineStr">
        <is>
          <t>author_run</t>
        </is>
      </c>
      <c r="S76" t="inlineStr"/>
      <c r="T76" t="inlineStr">
        <is>
          <t>authors_own</t>
        </is>
      </c>
      <c r="U76" t="inlineStr">
        <is>
          <t>tidak</t>
        </is>
      </c>
      <c r="V76" t="inlineStr"/>
      <c r="W76" t="inlineStr">
        <is>
          <t>Abstract; Section 4 (ICETICS 2026)</t>
        </is>
      </c>
      <c r="X76" t="inlineStr">
        <is>
          <t>none</t>
        </is>
      </c>
      <c r="Y76" t="inlineStr">
        <is>
          <t>integritas kontekstual 96.8%, resistensi injeksi 95.9%, stabilitas interaksi 96.1%</t>
        </is>
      </c>
      <c r="Z76" t="inlineStr">
        <is>
          <t>Framework Guru mengamankan gerbang RAG perantara MCP dengan analisis entropi semantik dan skoring kepercayaan dinamis.</t>
        </is>
      </c>
      <c r="AA76" t="inlineStr"/>
      <c r="AB76" t="inlineStr"/>
      <c r="AC76" t="inlineStr">
        <is>
          <t>include</t>
        </is>
      </c>
      <c r="AD76" t="inlineStr"/>
      <c r="AE76" t="inlineStr">
        <is>
          <t>Supplementary search IEEE+Scopus (ICETICS 2026)</t>
        </is>
      </c>
      <c r="AF76" t="inlineStr">
        <is>
          <t>Supplementary (IEEE/ACM/Scopus)</t>
        </is>
      </c>
      <c r="AG76" t="inlineStr">
        <is>
          <t>L1</t>
        </is>
      </c>
      <c r="AH76" t="inlineStr">
        <is>
          <t>No</t>
        </is>
      </c>
    </row>
    <row r="77">
      <c r="A77" t="inlineStr">
        <is>
          <t>defense-against-retrieval-2026</t>
        </is>
      </c>
      <c r="B77" t="inlineStr">
        <is>
          <t>Defense Against Retrieval Injection Attacks in MCP-based LLM Agents</t>
        </is>
      </c>
      <c r="C77" t="n">
        <v>2026</v>
      </c>
      <c r="D77" t="inlineStr">
        <is>
          <t>E1</t>
        </is>
      </c>
      <c r="E77" t="inlineStr">
        <is>
          <t>kandidat_agent</t>
        </is>
      </c>
      <c r="F77" t="inlineStr">
        <is>
          <t>primary</t>
        </is>
      </c>
      <c r="G77" t="inlineStr">
        <is>
          <t>https://doi.org/10.1109/CAIBDA70336.2026.11621400</t>
        </is>
      </c>
      <c r="H77" t="inlineStr">
        <is>
          <t>ya</t>
        </is>
      </c>
      <c r="I77" t="inlineStr">
        <is>
          <t>defense_primary</t>
        </is>
      </c>
      <c r="J77" t="inlineStr">
        <is>
          <t>MSB-Defense</t>
        </is>
      </c>
      <c r="K77" t="inlineStr">
        <is>
          <t>content_inspection_runtime</t>
        </is>
      </c>
      <c r="L77" t="inlineStr">
        <is>
          <t>Menggabungkan Input Purifier pra-baca berbasis pencocokan, Output Validator pra-eksekusi, dan LLM-as-Judge pasca-eksekusi untuk memblokir injeksi instruksi jahat dari file data.</t>
        </is>
      </c>
      <c r="M77" t="inlineStr">
        <is>
          <t>ya</t>
        </is>
      </c>
      <c r="N77" t="inlineStr">
        <is>
          <t>gateway_proxy</t>
        </is>
      </c>
      <c r="O77" t="inlineStr">
        <is>
          <t>R2</t>
        </is>
      </c>
      <c r="P77" t="inlineStr">
        <is>
          <t>A2</t>
        </is>
      </c>
      <c r="Q77" t="inlineStr">
        <is>
          <t>A2</t>
        </is>
      </c>
      <c r="R77" t="inlineStr">
        <is>
          <t>author_run</t>
        </is>
      </c>
      <c r="S77" t="inlineStr"/>
      <c r="T77" t="inlineStr">
        <is>
          <t>authors_own</t>
        </is>
      </c>
      <c r="U77" t="inlineStr">
        <is>
          <t>tidak</t>
        </is>
      </c>
      <c r="V77" t="inlineStr"/>
      <c r="W77" t="inlineStr">
        <is>
          <t>Abstract; Section 4 (CAIBDA 2026)</t>
        </is>
      </c>
      <c r="X77" t="inlineStr">
        <is>
          <t>none</t>
        </is>
      </c>
      <c r="Y77" t="inlineStr">
        <is>
          <t>ASR turun 95% -&gt; 0%, triggering rate 97.5%, PUA 97.5%, skor NRP-D naik 0.05 -&gt; 0.91</t>
        </is>
      </c>
      <c r="Z77" t="inlineStr">
        <is>
          <t>MSB-Defense mengevaluasi 160 eksperimen terkontrol pada model DeepSeek-Chat untuk memblokir retrieval injection pada data tool MCP.</t>
        </is>
      </c>
      <c r="AA77" t="inlineStr"/>
      <c r="AB77" t="inlineStr"/>
      <c r="AC77" t="inlineStr">
        <is>
          <t>include</t>
        </is>
      </c>
      <c r="AD77" t="inlineStr"/>
      <c r="AE77" t="inlineStr">
        <is>
          <t>Supplementary search IEEE+Scopus (CAIBDA 2026)</t>
        </is>
      </c>
      <c r="AF77" t="inlineStr">
        <is>
          <t>Supplementary (IEEE/ACM/Scopus)</t>
        </is>
      </c>
      <c r="AG77" t="inlineStr">
        <is>
          <t>L1</t>
        </is>
      </c>
      <c r="AH77" t="inlineStr">
        <is>
          <t>No</t>
        </is>
      </c>
    </row>
    <row r="78">
      <c r="A78" t="inlineStr">
        <is>
          <t>securebydesign-framework-for-2026</t>
        </is>
      </c>
      <c r="B78" t="inlineStr">
        <is>
          <t>Secure-by-Design Framework for Agentic AI: Mitigating Toxic Flows and Adversarial Exploits in Multi-Agent Ecosystems</t>
        </is>
      </c>
      <c r="C78" t="n">
        <v>2026</v>
      </c>
      <c r="D78" t="inlineStr">
        <is>
          <t>E1</t>
        </is>
      </c>
      <c r="E78" t="inlineStr">
        <is>
          <t>kandidat_agent</t>
        </is>
      </c>
      <c r="F78" t="inlineStr">
        <is>
          <t>primary</t>
        </is>
      </c>
      <c r="G78" t="inlineStr">
        <is>
          <t>https://doi.org/10.1109/IETC69527.2026.11568651</t>
        </is>
      </c>
      <c r="H78" t="inlineStr">
        <is>
          <t>ya</t>
        </is>
      </c>
      <c r="I78" t="inlineStr">
        <is>
          <t>defense_primary</t>
        </is>
      </c>
      <c r="J78" t="inlineStr">
        <is>
          <t>TFA</t>
        </is>
      </c>
      <c r="K78" t="inlineStr">
        <is>
          <t>content_inspection_runtime</t>
        </is>
      </c>
      <c r="L78" t="inlineStr">
        <is>
          <t>Menerapkan analisis aliran informasi dengan product lattice untuk mendekomposisi wewenang tool dan mengisolasi propagasi instruksi beracun pada alur multi-agen MCP.</t>
        </is>
      </c>
      <c r="M78" t="inlineStr">
        <is>
          <t>tidak</t>
        </is>
      </c>
      <c r="N78" t="inlineStr">
        <is>
          <t>gateway_proxy</t>
        </is>
      </c>
      <c r="O78" t="inlineStr">
        <is>
          <t>R6</t>
        </is>
      </c>
      <c r="P78" t="inlineStr">
        <is>
          <t>D1;D2</t>
        </is>
      </c>
      <c r="Q78" t="inlineStr">
        <is>
          <t>D1;D2</t>
        </is>
      </c>
      <c r="R78" t="inlineStr">
        <is>
          <t>author_run</t>
        </is>
      </c>
      <c r="S78" t="inlineStr"/>
      <c r="T78" t="inlineStr">
        <is>
          <t>authors_own</t>
        </is>
      </c>
      <c r="U78" t="inlineStr">
        <is>
          <t>tidak</t>
        </is>
      </c>
      <c r="V78" t="inlineStr"/>
      <c r="W78" t="inlineStr">
        <is>
          <t>Abstract; Section 5 (IETC 2026)</t>
        </is>
      </c>
      <c r="X78" t="inlineStr">
        <is>
          <t>prototype_open_source</t>
        </is>
      </c>
      <c r="Y78" t="inlineStr">
        <is>
          <t>deteksi serangan 94.2%, false positive 3.1%, latensi rata-rata 47 ms</t>
        </is>
      </c>
      <c r="Z78" t="inlineStr">
        <is>
          <t>Kerangka SbD-TFA berbasis model lattice formal untuk mitigasi toxic flow dan eksfiltrasi data terkomposisi pada ekosistem multi-agen MCP.</t>
        </is>
      </c>
      <c r="AA78" t="inlineStr"/>
      <c r="AB78" t="inlineStr"/>
      <c r="AC78" t="inlineStr">
        <is>
          <t>include</t>
        </is>
      </c>
      <c r="AD78" t="inlineStr"/>
      <c r="AE78" t="inlineStr">
        <is>
          <t>Supplementary search IEEE+Scopus (IETC 2026)</t>
        </is>
      </c>
      <c r="AF78" t="inlineStr">
        <is>
          <t>Supplementary (IEEE/ACM/Scopus)</t>
        </is>
      </c>
      <c r="AG78" t="inlineStr">
        <is>
          <t>L1</t>
        </is>
      </c>
      <c r="AH78" t="inlineStr">
        <is>
          <t>No</t>
        </is>
      </c>
    </row>
    <row r="79">
      <c r="A79" t="inlineStr">
        <is>
          <t>genreachai-agentic-generative-2026</t>
        </is>
      </c>
      <c r="B79" t="inlineStr">
        <is>
          <t>GenReachAI: An Agentic Generative AI Framework for Automated Reachability Analysis of Enterprise Software Vulnerabilities</t>
        </is>
      </c>
      <c r="C79" t="n">
        <v>2026</v>
      </c>
      <c r="D79" t="inlineStr">
        <is>
          <t>E1</t>
        </is>
      </c>
      <c r="E79" t="inlineStr">
        <is>
          <t>kandidat_agent</t>
        </is>
      </c>
      <c r="F79" t="inlineStr">
        <is>
          <t>primary</t>
        </is>
      </c>
      <c r="G79" t="inlineStr">
        <is>
          <t>https://doi.org/10.1109/ISDFS69419.2026.11459101</t>
        </is>
      </c>
      <c r="H79" t="inlineStr">
        <is>
          <t>ya</t>
        </is>
      </c>
      <c r="I79" t="inlineStr">
        <is>
          <t>defense_primary</t>
        </is>
      </c>
      <c r="J79" t="inlineStr">
        <is>
          <t>GenReachAI</t>
        </is>
      </c>
      <c r="K79" t="inlineStr">
        <is>
          <t>content_inspection_static</t>
        </is>
      </c>
      <c r="L79" t="inlineStr">
        <is>
          <t>Mengekstraksi konteks runtime dan kebijakan jaringan melalui server MCP untuk memvalidasi keterjangkauan kerentanan open-source pada pipeline CI/CD dan IDE.</t>
        </is>
      </c>
      <c r="M79" t="inlineStr">
        <is>
          <t>ya</t>
        </is>
      </c>
      <c r="N79" t="inlineStr">
        <is>
          <t>offline_analysis</t>
        </is>
      </c>
      <c r="O79" t="inlineStr">
        <is>
          <t>PRA</t>
        </is>
      </c>
      <c r="P79" t="inlineStr">
        <is>
          <t>D3</t>
        </is>
      </c>
      <c r="Q79" t="inlineStr">
        <is>
          <t>D3</t>
        </is>
      </c>
      <c r="R79" t="inlineStr">
        <is>
          <t>author_run</t>
        </is>
      </c>
      <c r="S79" t="inlineStr"/>
      <c r="T79" t="inlineStr">
        <is>
          <t>third_party_public</t>
        </is>
      </c>
      <c r="U79" t="inlineStr">
        <is>
          <t>tidak</t>
        </is>
      </c>
      <c r="V79" t="inlineStr"/>
      <c r="W79" t="inlineStr">
        <is>
          <t>Abstract; Section 4 (ISDFS 2026)</t>
        </is>
      </c>
      <c r="X79" t="inlineStr">
        <is>
          <t>none</t>
        </is>
      </c>
      <c r="Y79" t="inlineStr">
        <is>
          <t>reduksi false positive scanner SCA sebesar 85%, mempertahankan recall 97%</t>
        </is>
      </c>
      <c r="Z79" t="inlineStr">
        <is>
          <t>Sistem analisis keterjangkauan rantai pasok berbasis penalaran semantik kode dan pengumpulan telemetri lingkungan via antarmuka MCP.</t>
        </is>
      </c>
      <c r="AA79" t="inlineStr"/>
      <c r="AB79" t="inlineStr"/>
      <c r="AC79" t="inlineStr">
        <is>
          <t>include</t>
        </is>
      </c>
      <c r="AD79" t="inlineStr"/>
      <c r="AE79" t="inlineStr">
        <is>
          <t>Supplementary search IEEE+Scopus (ISDFS 2026)</t>
        </is>
      </c>
      <c r="AF79" t="inlineStr">
        <is>
          <t>Supplementary (IEEE/ACM/Scopus)</t>
        </is>
      </c>
      <c r="AG79" t="inlineStr">
        <is>
          <t>L1</t>
        </is>
      </c>
      <c r="AH79" t="inlineStr">
        <is>
          <t>No</t>
        </is>
      </c>
    </row>
    <row r="80">
      <c r="A80" t="inlineStr">
        <is>
          <t>agentic-security-validation-2026</t>
        </is>
      </c>
      <c r="B80" t="inlineStr">
        <is>
          <t>Agentic Security Validation Framework for Retrieval-Augmented and Tool-Enabled Large Language Model Systems</t>
        </is>
      </c>
      <c r="C80" t="n">
        <v>2026</v>
      </c>
      <c r="D80" t="inlineStr">
        <is>
          <t>E1</t>
        </is>
      </c>
      <c r="E80" t="inlineStr">
        <is>
          <t>kandidat_agent</t>
        </is>
      </c>
      <c r="F80" t="inlineStr">
        <is>
          <t>primary</t>
        </is>
      </c>
      <c r="G80" t="inlineStr">
        <is>
          <t>https://doi.org/10.1109/ICCVBIC71195.2026.11689544</t>
        </is>
      </c>
      <c r="H80" t="inlineStr">
        <is>
          <t>ya</t>
        </is>
      </c>
      <c r="I80" t="inlineStr">
        <is>
          <t>defense_primary</t>
        </is>
      </c>
      <c r="J80" t="inlineStr">
        <is>
          <t>ARGUS</t>
        </is>
      </c>
      <c r="K80" t="inlineStr">
        <is>
          <t>content_inspection_runtime</t>
        </is>
      </c>
      <c r="L80" t="inlineStr">
        <is>
          <t>Pemindai keamanan loop tertutup yang memvalidasi batas kepercayaan RAG dan MCP tool server dengan sintesis payload adaptif dan 3 lapisan deteksi jejak perilaku.</t>
        </is>
      </c>
      <c r="M80" t="inlineStr">
        <is>
          <t>ya</t>
        </is>
      </c>
      <c r="N80" t="inlineStr">
        <is>
          <t>offline_analysis</t>
        </is>
      </c>
      <c r="O80" t="inlineStr">
        <is>
          <t>R2;R6</t>
        </is>
      </c>
      <c r="P80" t="inlineStr">
        <is>
          <t>A1;A2;D1;D2</t>
        </is>
      </c>
      <c r="Q80" t="inlineStr">
        <is>
          <t>A1;A2</t>
        </is>
      </c>
      <c r="R80" t="inlineStr">
        <is>
          <t>author_run</t>
        </is>
      </c>
      <c r="S80" t="inlineStr"/>
      <c r="T80" t="inlineStr">
        <is>
          <t>authors_own</t>
        </is>
      </c>
      <c r="U80" t="inlineStr">
        <is>
          <t>ya</t>
        </is>
      </c>
      <c r="V80" t="inlineStr">
        <is>
          <t>attack strategy must adapt to target behavior in real time; payload generation must be structurally novel on every attempt</t>
        </is>
      </c>
      <c r="W80" t="inlineStr">
        <is>
          <t>Abstract; Section 4 (ICCVBIC 2026)</t>
        </is>
      </c>
      <c r="X80" t="inlineStr">
        <is>
          <t>prototype_open_source</t>
        </is>
      </c>
      <c r="Y80" t="inlineStr">
        <is>
          <t>not_reported</t>
        </is>
      </c>
      <c r="Z80" t="inlineStr">
        <is>
          <t>Pemindai red-teaming adaptif loop tertutup untuk memvalidasi batas kepercayaan MCP tool server dan RAG dengan skor CVSSv4 dan pemetaan regulasi AI.</t>
        </is>
      </c>
      <c r="AA80" t="inlineStr"/>
      <c r="AB80" t="inlineStr"/>
      <c r="AC80" t="inlineStr">
        <is>
          <t>include</t>
        </is>
      </c>
      <c r="AD80" t="inlineStr"/>
      <c r="AE80" t="inlineStr">
        <is>
          <t>Supplementary search IEEE (ICCVBIC 2026)</t>
        </is>
      </c>
      <c r="AF80" t="inlineStr">
        <is>
          <t>Supplementary (IEEE/ACM/Scopus)</t>
        </is>
      </c>
      <c r="AG80" t="inlineStr">
        <is>
          <t>L1</t>
        </is>
      </c>
      <c r="AH80" t="inlineStr">
        <is>
          <t>Yes</t>
        </is>
      </c>
    </row>
    <row r="81">
      <c r="A81" t="inlineStr">
        <is>
          <t>governed-agentic-cloud-2026</t>
        </is>
      </c>
      <c r="B81" t="inlineStr">
        <is>
          <t>Governed Agentic Cloud Data Pipelines with MCP Gateways</t>
        </is>
      </c>
      <c r="C81" t="n">
        <v>2026</v>
      </c>
      <c r="D81" t="inlineStr">
        <is>
          <t>E1</t>
        </is>
      </c>
      <c r="E81" t="inlineStr">
        <is>
          <t>kandidat_agent</t>
        </is>
      </c>
      <c r="F81" t="inlineStr">
        <is>
          <t>primary</t>
        </is>
      </c>
      <c r="G81" t="inlineStr">
        <is>
          <t>https://doi.org/10.1109/ICAISET66439.2026.11541321</t>
        </is>
      </c>
      <c r="H81" t="inlineStr">
        <is>
          <t>ya</t>
        </is>
      </c>
      <c r="I81" t="inlineStr">
        <is>
          <t>defense_primary</t>
        </is>
      </c>
      <c r="J81" t="inlineStr">
        <is>
          <t>unnamed:mcp-governance-gateway</t>
        </is>
      </c>
      <c r="K81" t="inlineStr">
        <is>
          <t>deterministic_policy</t>
        </is>
      </c>
      <c r="L81" t="inlineStr">
        <is>
          <t>Menerapkan gateway MCP yang memvalidasi skema JSON dua arah, kompatibilitas semantik, dan batasan kebijakan deterministik serta mencatat log audit telemetri append-only.</t>
        </is>
      </c>
      <c r="M81" t="inlineStr">
        <is>
          <t>tidak</t>
        </is>
      </c>
      <c r="N81" t="inlineStr">
        <is>
          <t>gateway_proxy</t>
        </is>
      </c>
      <c r="O81" t="inlineStr">
        <is>
          <t>R2;R5;R7</t>
        </is>
      </c>
      <c r="P81" t="inlineStr">
        <is>
          <t>A3;B3;C5</t>
        </is>
      </c>
      <c r="Q81" t="inlineStr">
        <is>
          <t>A3;B3;C5</t>
        </is>
      </c>
      <c r="R81" t="inlineStr">
        <is>
          <t>author_run</t>
        </is>
      </c>
      <c r="S81" t="inlineStr"/>
      <c r="T81" t="inlineStr">
        <is>
          <t>authors_own</t>
        </is>
      </c>
      <c r="U81" t="inlineStr">
        <is>
          <t>tidak</t>
        </is>
      </c>
      <c r="V81" t="inlineStr"/>
      <c r="W81" t="inlineStr">
        <is>
          <t>Abstract; Section 4 (ICAISET 2026)</t>
        </is>
      </c>
      <c r="X81" t="inlineStr">
        <is>
          <t>none</t>
        </is>
      </c>
      <c r="Y81" t="inlineStr">
        <is>
          <t>blokir &gt;96% pelanggaran skema/kebijakan, overhead latensi p95 &lt;6.2%, pipeline success rate +7.6%, MTTR -58.3%</t>
        </is>
      </c>
      <c r="Z81" t="inlineStr">
        <is>
          <t>Gateway MCP deterministik yang menerapkan validasi skema JSON dan kontrol tata kelola kebijakan pada pipeline data cloud agen.</t>
        </is>
      </c>
      <c r="AA81" t="inlineStr"/>
      <c r="AB81" t="inlineStr"/>
      <c r="AC81" t="inlineStr">
        <is>
          <t>include</t>
        </is>
      </c>
      <c r="AD81" t="inlineStr"/>
      <c r="AE81" t="inlineStr">
        <is>
          <t>Supplementary search IEEE+Scopus (ICAISET 2026)</t>
        </is>
      </c>
      <c r="AF81" t="inlineStr">
        <is>
          <t>Supplementary (IEEE/ACM/Scopus)</t>
        </is>
      </c>
      <c r="AG81" t="inlineStr">
        <is>
          <t>L1</t>
        </is>
      </c>
      <c r="AH81" t="inlineStr">
        <is>
          <t>No</t>
        </is>
      </c>
    </row>
    <row r="82">
      <c r="A82" t="inlineStr">
        <is>
          <t>secuaudit-integrity-preserving-2026</t>
        </is>
      </c>
      <c r="B82" t="inlineStr">
        <is>
          <t>SecuAudit: Integrity-Preserving Metadata Compliance Auditing for Secure Data Circulation in MCP-Enabled AI Agents</t>
        </is>
      </c>
      <c r="C82" t="n">
        <v>2026</v>
      </c>
      <c r="D82" t="inlineStr">
        <is>
          <t>E1</t>
        </is>
      </c>
      <c r="E82" t="inlineStr">
        <is>
          <t>kandidat_agent</t>
        </is>
      </c>
      <c r="F82" t="inlineStr">
        <is>
          <t>primary</t>
        </is>
      </c>
      <c r="G82" t="inlineStr">
        <is>
          <t>https://doi.org/10.32604/cmc.2026.085633</t>
        </is>
      </c>
      <c r="H82" t="inlineStr">
        <is>
          <t>ya</t>
        </is>
      </c>
      <c r="I82" t="inlineStr">
        <is>
          <t>defense_primary</t>
        </is>
      </c>
      <c r="J82" t="inlineStr">
        <is>
          <t>SecuAudit</t>
        </is>
      </c>
      <c r="K82" t="inlineStr">
        <is>
          <t>integrity_provenance</t>
        </is>
      </c>
      <c r="L82" t="inlineStr">
        <is>
          <t>Menggunakan pembagian kunci terdesentralisasi Shamir dan supervised hash untuk mengikat kebijakan akses pada metadata, serta protokol tantangan acak TPA untuk audit integritas.</t>
        </is>
      </c>
      <c r="M82" t="inlineStr">
        <is>
          <t>tidak</t>
        </is>
      </c>
      <c r="N82" t="inlineStr">
        <is>
          <t>gateway_proxy</t>
        </is>
      </c>
      <c r="O82" t="inlineStr">
        <is>
          <t>R7</t>
        </is>
      </c>
      <c r="P82" t="inlineStr">
        <is>
          <t>B1;B2</t>
        </is>
      </c>
      <c r="Q82" t="inlineStr">
        <is>
          <t>B1;B2</t>
        </is>
      </c>
      <c r="R82" t="inlineStr">
        <is>
          <t>author_run</t>
        </is>
      </c>
      <c r="S82" t="inlineStr"/>
      <c r="T82" t="inlineStr">
        <is>
          <t>authors_own</t>
        </is>
      </c>
      <c r="U82" t="inlineStr">
        <is>
          <t>tidak</t>
        </is>
      </c>
      <c r="V82" t="inlineStr"/>
      <c r="W82" t="inlineStr">
        <is>
          <t>Abstract; Section 4 (CMC 2026)</t>
        </is>
      </c>
      <c r="X82" t="inlineStr">
        <is>
          <t>prototype_open_source</t>
        </is>
      </c>
      <c r="Y82" t="inlineStr">
        <is>
          <t>Keygen latency turun 54.6%, overhead Signblock 2.5%, deteksi 100% pada 6 kasus serangan, biaya EVM 499k gas</t>
        </is>
      </c>
      <c r="Z82" t="inlineStr">
        <is>
          <t>Protokol audit kepatuhan metadata integritas sirkulasi data agen MCP terdesentralisasi dengan Shamir Secret Sharing dan smart contract EVM.</t>
        </is>
      </c>
      <c r="AA82" t="inlineStr"/>
      <c r="AB82" t="inlineStr"/>
      <c r="AC82" t="inlineStr">
        <is>
          <t>include</t>
        </is>
      </c>
      <c r="AD82" t="inlineStr"/>
      <c r="AE82" t="inlineStr">
        <is>
          <t>Supplementary search Scopus (CMC 2026)</t>
        </is>
      </c>
      <c r="AF82" t="inlineStr">
        <is>
          <t>Supplementary (IEEE/ACM/Scopus)</t>
        </is>
      </c>
      <c r="AG82" t="inlineStr">
        <is>
          <t>L1</t>
        </is>
      </c>
      <c r="AH82" t="inlineStr">
        <is>
          <t>No</t>
        </is>
      </c>
    </row>
    <row r="83">
      <c r="A83" t="inlineStr">
        <is>
          <t>mcpdriven-realtime-security-2026</t>
        </is>
      </c>
      <c r="B83" t="inlineStr">
        <is>
          <t>MCP-driven real-time security monitoring: A hybrid LLM and behavior-aware framework for temporal attack detection and severity assessment</t>
        </is>
      </c>
      <c r="C83" t="n">
        <v>2026</v>
      </c>
      <c r="D83" t="inlineStr">
        <is>
          <t>E1</t>
        </is>
      </c>
      <c r="E83" t="inlineStr">
        <is>
          <t>kandidat_agent</t>
        </is>
      </c>
      <c r="F83" t="inlineStr">
        <is>
          <t>primary</t>
        </is>
      </c>
      <c r="G83" t="inlineStr">
        <is>
          <t>https://doi.org/10.1016/j.comnet.2026.112540</t>
        </is>
      </c>
      <c r="H83" t="inlineStr">
        <is>
          <t>ya</t>
        </is>
      </c>
      <c r="I83" t="inlineStr">
        <is>
          <t>defense_primary</t>
        </is>
      </c>
      <c r="J83" t="inlineStr">
        <is>
          <t>Sentinel-Net</t>
        </is>
      </c>
      <c r="K83" t="inlineStr">
        <is>
          <t>content_inspection_runtime</t>
        </is>
      </c>
      <c r="L83" t="inlineStr">
        <is>
          <t>Memadukan pra-filter aturan, analisis semantik intensi LLM, dan model deep learning temporal (Dilated CNN + LSTM) untuk mendeteksi serangan multi-langkah pada server MCP.</t>
        </is>
      </c>
      <c r="M83" t="inlineStr">
        <is>
          <t>ya</t>
        </is>
      </c>
      <c r="N83" t="inlineStr">
        <is>
          <t>gateway_proxy</t>
        </is>
      </c>
      <c r="O83" t="inlineStr">
        <is>
          <t>R3;R6</t>
        </is>
      </c>
      <c r="P83" t="inlineStr">
        <is>
          <t>A1;C1;D1;D2</t>
        </is>
      </c>
      <c r="Q83" t="inlineStr">
        <is>
          <t>A1;C1;D1;D2</t>
        </is>
      </c>
      <c r="R83" t="inlineStr">
        <is>
          <t>author_run</t>
        </is>
      </c>
      <c r="S83" t="inlineStr"/>
      <c r="T83" t="inlineStr">
        <is>
          <t>authors_own</t>
        </is>
      </c>
      <c r="U83" t="inlineStr">
        <is>
          <t>tidak</t>
        </is>
      </c>
      <c r="V83" t="inlineStr"/>
      <c r="W83" t="inlineStr">
        <is>
          <t>Abstract; Section 4 (Computer Networks 2026)</t>
        </is>
      </c>
      <c r="X83" t="inlineStr">
        <is>
          <t>none</t>
        </is>
      </c>
      <c r="Y83" t="inlineStr">
        <is>
          <t>not_reported</t>
        </is>
      </c>
      <c r="Z83" t="inlineStr">
        <is>
          <t>Framework monitoring real-time berbasis hybrid LLM dan arsitektur CNN-LSTM Sentinel-Net untuk mendeteksi pola serangan temporal pada MCP.</t>
        </is>
      </c>
      <c r="AA83" t="inlineStr"/>
      <c r="AB83" t="inlineStr"/>
      <c r="AC83" t="inlineStr">
        <is>
          <t>include</t>
        </is>
      </c>
      <c r="AD83" t="inlineStr"/>
      <c r="AE83" t="inlineStr">
        <is>
          <t>Supplementary search Scopus (Computer Networks 2026 Q1)</t>
        </is>
      </c>
      <c r="AF83" t="inlineStr">
        <is>
          <t>Supplementary (IEEE/ACM/Scopus)</t>
        </is>
      </c>
      <c r="AG83" t="inlineStr">
        <is>
          <t>L1</t>
        </is>
      </c>
      <c r="AH83" t="inlineStr">
        <is>
          <t>No</t>
        </is>
      </c>
    </row>
    <row r="84">
      <c r="A84" t="inlineStr">
        <is>
          <t>addressing-security-gaps-2025</t>
        </is>
      </c>
      <c r="B84" t="inlineStr">
        <is>
          <t>Addressing Security Gaps in MCP: Design of a Resilient Reference Architecture</t>
        </is>
      </c>
      <c r="C84" t="n">
        <v>2025</v>
      </c>
      <c r="D84" t="inlineStr">
        <is>
          <t>E1</t>
        </is>
      </c>
      <c r="E84" t="inlineStr">
        <is>
          <t>kandidat_agent</t>
        </is>
      </c>
      <c r="F84" t="inlineStr">
        <is>
          <t>primary</t>
        </is>
      </c>
      <c r="G84" t="inlineStr">
        <is>
          <t>https://doi.org/10.1109/ICOA66896.2025.11236877</t>
        </is>
      </c>
      <c r="H84" t="inlineStr">
        <is>
          <t>ya</t>
        </is>
      </c>
      <c r="I84" t="inlineStr">
        <is>
          <t>proposal_only</t>
        </is>
      </c>
      <c r="J84" t="inlineStr">
        <is>
          <t>unnamed:resilient-reference-architecture</t>
        </is>
      </c>
      <c r="K84" t="inlineStr">
        <is>
          <t>protocol_provision</t>
        </is>
      </c>
      <c r="L84" t="inlineStr">
        <is>
          <t>Usulan arsitektur rujukan resilien untuk menutup celah keamanan bawaan MCP seperti tool poisoning, squatting, dan autentikasi dengan mitigasi spesifik per ancaman.</t>
        </is>
      </c>
      <c r="M84" t="inlineStr">
        <is>
          <t>tidak</t>
        </is>
      </c>
      <c r="N84" t="inlineStr">
        <is>
          <t>gateway_proxy</t>
        </is>
      </c>
      <c r="O84" t="inlineStr">
        <is>
          <t>R2;R4;R7</t>
        </is>
      </c>
      <c r="P84" t="inlineStr">
        <is>
          <t>A1;C3;D3</t>
        </is>
      </c>
      <c r="Q84" t="inlineStr"/>
      <c r="R84" t="inlineStr">
        <is>
          <t>none</t>
        </is>
      </c>
      <c r="S84" t="inlineStr"/>
      <c r="T84" t="inlineStr">
        <is>
          <t>none</t>
        </is>
      </c>
      <c r="U84" t="inlineStr">
        <is>
          <t>n/a_tanpa_evaluasi</t>
        </is>
      </c>
      <c r="V84" t="inlineStr"/>
      <c r="W84" t="inlineStr"/>
      <c r="X84" t="inlineStr">
        <is>
          <t>none</t>
        </is>
      </c>
      <c r="Y84" t="inlineStr">
        <is>
          <t>not_reported</t>
        </is>
      </c>
      <c r="Z84" t="inlineStr">
        <is>
          <t>Usulan arsitektur rujukan resilien untuk MCP dengan estimasi overhead kinerja namun tanpa evaluasi empiris terhadap serangan musuh.</t>
        </is>
      </c>
      <c r="AA84" t="inlineStr"/>
      <c r="AB84" t="inlineStr"/>
      <c r="AC84" t="inlineStr">
        <is>
          <t>include</t>
        </is>
      </c>
      <c r="AD84" t="inlineStr"/>
      <c r="AE84" t="inlineStr">
        <is>
          <t>Supplementary search IEEE+Scopus (ICOA 2025)</t>
        </is>
      </c>
      <c r="AF84" t="inlineStr">
        <is>
          <t>Supplementary (IEEE/ACM/Scopus)</t>
        </is>
      </c>
      <c r="AG84" t="inlineStr">
        <is>
          <t>L0</t>
        </is>
      </c>
      <c r="AH84" t="inlineStr">
        <is>
          <t>N/A</t>
        </is>
      </c>
    </row>
    <row r="85">
      <c r="A85" t="inlineStr">
        <is>
          <t>hierarchical-approaches-for-2026</t>
        </is>
      </c>
      <c r="B85" t="inlineStr">
        <is>
          <t>Hierarchical Approaches for Development of an MCP Security Framework</t>
        </is>
      </c>
      <c r="C85" t="n">
        <v>2026</v>
      </c>
      <c r="D85" t="inlineStr">
        <is>
          <t>E1</t>
        </is>
      </c>
      <c r="E85" t="inlineStr">
        <is>
          <t>kandidat_agent</t>
        </is>
      </c>
      <c r="F85" t="inlineStr">
        <is>
          <t>primary</t>
        </is>
      </c>
      <c r="G85" t="inlineStr">
        <is>
          <t>https://doi.org/10.1109/ACCESS.2026.3694881</t>
        </is>
      </c>
      <c r="H85" t="inlineStr">
        <is>
          <t>ya</t>
        </is>
      </c>
      <c r="I85" t="inlineStr">
        <is>
          <t>proposal_only</t>
        </is>
      </c>
      <c r="J85" t="inlineStr">
        <is>
          <t>unnamed:mcp-security-framework</t>
        </is>
      </c>
      <c r="K85" t="inlineStr">
        <is>
          <t>protocol_provision</t>
        </is>
      </c>
      <c r="L85" t="inlineStr">
        <is>
          <t>Kerangka kerja keamanan MCP hierarkis dengan empat strategi pertahanan (11 countermeasure spesifik MCP, mitigasi LLM, integrasi siber, dan teknologi MCP Firewall).</t>
        </is>
      </c>
      <c r="M85" t="inlineStr">
        <is>
          <t>tidak</t>
        </is>
      </c>
      <c r="N85" t="inlineStr">
        <is>
          <t>gateway_proxy</t>
        </is>
      </c>
      <c r="O85" t="inlineStr">
        <is>
          <t>R2;R5;R6</t>
        </is>
      </c>
      <c r="P85" t="inlineStr">
        <is>
          <t>A1;C5;D1</t>
        </is>
      </c>
      <c r="Q85" t="inlineStr"/>
      <c r="R85" t="inlineStr">
        <is>
          <t>none</t>
        </is>
      </c>
      <c r="S85" t="inlineStr"/>
      <c r="T85" t="inlineStr">
        <is>
          <t>none</t>
        </is>
      </c>
      <c r="U85" t="inlineStr">
        <is>
          <t>n/a_tanpa_evaluasi</t>
        </is>
      </c>
      <c r="V85" t="inlineStr"/>
      <c r="W85" t="inlineStr"/>
      <c r="X85" t="inlineStr">
        <is>
          <t>none</t>
        </is>
      </c>
      <c r="Y85" t="inlineStr">
        <is>
          <t>not_reported</t>
        </is>
      </c>
      <c r="Z85" t="inlineStr">
        <is>
          <t>Usulan kerangka kerja keamanan hierarkis dan konsep MCP Firewall; analisis ancaman eksperimental tanpa evaluasi mitigasi serangan musuh.</t>
        </is>
      </c>
      <c r="AA85" t="inlineStr"/>
      <c r="AB85" t="inlineStr"/>
      <c r="AC85" t="inlineStr">
        <is>
          <t>include</t>
        </is>
      </c>
      <c r="AD85" t="inlineStr"/>
      <c r="AE85" t="inlineStr">
        <is>
          <t>Supplementary search IEEE+Scopus (IEEE Access 2026)</t>
        </is>
      </c>
      <c r="AF85" t="inlineStr">
        <is>
          <t>Supplementary (IEEE/ACM/Scopus)</t>
        </is>
      </c>
      <c r="AG85" t="inlineStr">
        <is>
          <t>L0</t>
        </is>
      </c>
      <c r="AH85" t="inlineStr">
        <is>
          <t>N/A</t>
        </is>
      </c>
    </row>
    <row r="86">
      <c r="A86" t="inlineStr">
        <is>
          <t>attested-policy-brokerage-2026</t>
        </is>
      </c>
      <c r="B86" t="inlineStr">
        <is>
          <t>Attested Policy Brokerage for Secure MCP Sessions in Hybrid AI Fabrics</t>
        </is>
      </c>
      <c r="C86" t="n">
        <v>2026</v>
      </c>
      <c r="D86" t="inlineStr">
        <is>
          <t>E1</t>
        </is>
      </c>
      <c r="E86" t="inlineStr">
        <is>
          <t>kandidat_agent</t>
        </is>
      </c>
      <c r="F86" t="inlineStr">
        <is>
          <t>primary</t>
        </is>
      </c>
      <c r="G86" t="inlineStr">
        <is>
          <t>https://doi.org/10.1109/CIACON70148.2026.11688532</t>
        </is>
      </c>
      <c r="H86" t="inlineStr">
        <is>
          <t>ya</t>
        </is>
      </c>
      <c r="I86" t="inlineStr">
        <is>
          <t>proposal_only</t>
        </is>
      </c>
      <c r="J86" t="inlineStr">
        <is>
          <t>Attested Policy Brokerage (APB)</t>
        </is>
      </c>
      <c r="K86" t="inlineStr">
        <is>
          <t>capability_or_token</t>
        </is>
      </c>
      <c r="L86" t="inlineStr">
        <is>
          <t>Overlay kompatibel MCP yang menambahkan identitas workload, atestasi jarak jauh, token keputusan broker berumur pendek, fast path PEP, dan containment berpagar kuorum.</t>
        </is>
      </c>
      <c r="M86" t="inlineStr">
        <is>
          <t>tidak</t>
        </is>
      </c>
      <c r="N86" t="inlineStr">
        <is>
          <t>gateway_proxy</t>
        </is>
      </c>
      <c r="O86" t="inlineStr">
        <is>
          <t>R3;R4</t>
        </is>
      </c>
      <c r="P86" t="inlineStr">
        <is>
          <t>C1;C2;C3</t>
        </is>
      </c>
      <c r="Q86" t="inlineStr"/>
      <c r="R86" t="inlineStr">
        <is>
          <t>none</t>
        </is>
      </c>
      <c r="S86" t="inlineStr"/>
      <c r="T86" t="inlineStr">
        <is>
          <t>none</t>
        </is>
      </c>
      <c r="U86" t="inlineStr">
        <is>
          <t>n/a_tanpa_evaluasi</t>
        </is>
      </c>
      <c r="V86" t="inlineStr"/>
      <c r="W86" t="inlineStr"/>
      <c r="X86" t="inlineStr">
        <is>
          <t>none</t>
        </is>
      </c>
      <c r="Y86" t="inlineStr">
        <is>
          <t>latensi median cache-hit 0.113 ms, keputusan broker 0.167 ms, p95 1.54-6.89 ms pada 50-500k req/s</t>
        </is>
      </c>
      <c r="Z86" t="inlineStr">
        <is>
          <t>Evaluasi APB mengukur latensi dan throughput mikrokontrol sistem terdistribusi, bukan pengujian terhadap serangan musuh empiris (sehingga dikodekan proposal_only sesuai pedoman v1.1).</t>
        </is>
      </c>
      <c r="AA86" t="inlineStr"/>
      <c r="AB86" t="inlineStr"/>
      <c r="AC86" t="inlineStr">
        <is>
          <t>include</t>
        </is>
      </c>
      <c r="AD86" t="inlineStr"/>
      <c r="AE86" t="inlineStr">
        <is>
          <t>Supplementary search IEEE (CIACON 2026)</t>
        </is>
      </c>
      <c r="AF86" t="inlineStr">
        <is>
          <t>Supplementary (IEEE/ACM/Scopus)</t>
        </is>
      </c>
      <c r="AG86" t="inlineStr">
        <is>
          <t>L0</t>
        </is>
      </c>
      <c r="AH8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2026-09-28T01:57:42Z</dcterms:created>
  <dcterms:modified xsi:type="dcterms:W3CDTF">2026-10-04T10:42:28Z</dcterms:modified>
  <cp:lastModifiedBy>Raden Budiarto</cp:lastModifiedBy>
  <cp:revision>0</cp:revision>
</cp:coreProperties>
</file>