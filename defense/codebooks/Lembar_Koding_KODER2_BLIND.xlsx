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etunjuk" sheetId="1" state="visible" r:id="rId1"/>
    <sheet name="Koding" sheetId="2" state="visible" r:id="rId2"/>
    <sheet name="Kamus_Kode" sheetId="3" state="visible" r:id="rId3"/>
    <sheet name="Daftar" sheetId="4" state="visible" r:id="rId4"/>
  </sheets>
  <definedNames>
    <definedName name="_xlnm._FilterDatabase" localSheetId="1" hidden="1">'Koding'!$A$1:$Y$39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DDEBF7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rxiv.org/abs/2512.06556" TargetMode="External" Id="rId1" /><Relationship Type="http://schemas.openxmlformats.org/officeDocument/2006/relationships/hyperlink" Target="https://arxiv.org/abs/2506.13538" TargetMode="External" Id="rId2" /><Relationship Type="http://schemas.openxmlformats.org/officeDocument/2006/relationships/hyperlink" Target="https://arxiv.org/abs/2503.23278" TargetMode="External" Id="rId3" /><Relationship Type="http://schemas.openxmlformats.org/officeDocument/2006/relationships/hyperlink" Target="https://arxiv.org/abs/2504.03767" TargetMode="External" Id="rId4" /><Relationship Type="http://schemas.openxmlformats.org/officeDocument/2006/relationships/hyperlink" Target="https://doi.org/10.1109/acai68217.2025.11406667" TargetMode="External" Id="rId5" /><Relationship Type="http://schemas.openxmlformats.org/officeDocument/2006/relationships/hyperlink" Target="https://doi.org/10.18653/v1/2025.emnlp-main.62" TargetMode="External" Id="rId6" /><Relationship Type="http://schemas.openxmlformats.org/officeDocument/2006/relationships/hyperlink" Target="https://arxiv.org/abs/2601.20184" TargetMode="External" Id="rId7" /><Relationship Type="http://schemas.openxmlformats.org/officeDocument/2006/relationships/hyperlink" Target="https://arxiv.org/abs/2605.17380" TargetMode="External" Id="rId8" /><Relationship Type="http://schemas.openxmlformats.org/officeDocument/2006/relationships/hyperlink" Target="https://arxiv.org/abs/2609.00267" TargetMode="External" Id="rId9" /><Relationship Type="http://schemas.openxmlformats.org/officeDocument/2006/relationships/hyperlink" Target="https://arxiv.org/abs/2607.11086" TargetMode="External" Id="rId10" /><Relationship Type="http://schemas.openxmlformats.org/officeDocument/2006/relationships/hyperlink" Target="https://arxiv.org/abs/2508.20412" TargetMode="External" Id="rId11" /><Relationship Type="http://schemas.openxmlformats.org/officeDocument/2006/relationships/hyperlink" Target="https://arxiv.org/abs/2603.05637" TargetMode="External" Id="rId12" /><Relationship Type="http://schemas.openxmlformats.org/officeDocument/2006/relationships/hyperlink" Target="https://arxiv.org/abs/2607.19432" TargetMode="External" Id="rId13" /><Relationship Type="http://schemas.openxmlformats.org/officeDocument/2006/relationships/hyperlink" Target="https://doi.org/10.1109/ojcs.2026.3664314" TargetMode="External" Id="rId14" /><Relationship Type="http://schemas.openxmlformats.org/officeDocument/2006/relationships/hyperlink" Target="https://doi.org/10.1109/ISED67359.2025.11405153" TargetMode="External" Id="rId15" /><Relationship Type="http://schemas.openxmlformats.org/officeDocument/2006/relationships/hyperlink" Target="https://arxiv.org/abs/2606.29073" TargetMode="External" Id="rId16" /><Relationship Type="http://schemas.openxmlformats.org/officeDocument/2006/relationships/hyperlink" Target="https://arxiv.org/abs/2602.15945" TargetMode="External" Id="rId17" /><Relationship Type="http://schemas.openxmlformats.org/officeDocument/2006/relationships/hyperlink" Target="https://arxiv.org/abs/2605.24069" TargetMode="External" Id="rId18" /><Relationship Type="http://schemas.openxmlformats.org/officeDocument/2006/relationships/hyperlink" Target="https://arxiv.org/abs/2511.20920" TargetMode="External" Id="rId19" /><Relationship Type="http://schemas.openxmlformats.org/officeDocument/2006/relationships/hyperlink" Target="https://arxiv.org/abs/2507.19880" TargetMode="External" Id="rId20" /><Relationship Type="http://schemas.openxmlformats.org/officeDocument/2006/relationships/hyperlink" Target="https://arxiv.org/abs/2509.06572" TargetMode="External" Id="rId21" /><Relationship Type="http://schemas.openxmlformats.org/officeDocument/2006/relationships/hyperlink" Target="https://doi.org/10.1007/978-3-032-31998-2_13" TargetMode="External" Id="rId22" /><Relationship Type="http://schemas.openxmlformats.org/officeDocument/2006/relationships/hyperlink" Target="https://arxiv.org/abs/2603.10194" TargetMode="External" Id="rId23" /><Relationship Type="http://schemas.openxmlformats.org/officeDocument/2006/relationships/hyperlink" Target="https://arxiv.org/abs/2601.07395" TargetMode="External" Id="rId24" /><Relationship Type="http://schemas.openxmlformats.org/officeDocument/2006/relationships/hyperlink" Target="https://arxiv.org/abs/2609.02690" TargetMode="External" Id="rId25" /><Relationship Type="http://schemas.openxmlformats.org/officeDocument/2006/relationships/hyperlink" Target="https://doi.org/10.25559/sitito.021.202503.420-428" TargetMode="External" Id="rId26" /><Relationship Type="http://schemas.openxmlformats.org/officeDocument/2006/relationships/hyperlink" Target="https://arxiv.org/abs/2511.05867" TargetMode="External" Id="rId27" /><Relationship Type="http://schemas.openxmlformats.org/officeDocument/2006/relationships/hyperlink" Target="https://doi.org/10.1145/3737897.3767287" TargetMode="External" Id="rId28" /><Relationship Type="http://schemas.openxmlformats.org/officeDocument/2006/relationships/hyperlink" Target="https://arxiv.org/abs/2607.25297" TargetMode="External" Id="rId29" /><Relationship Type="http://schemas.openxmlformats.org/officeDocument/2006/relationships/hyperlink" Target="https://arxiv.org/abs/2512.15163" TargetMode="External" Id="rId30" /><Relationship Type="http://schemas.openxmlformats.org/officeDocument/2006/relationships/hyperlink" Target="https://arxiv.org/abs/2507.06323" TargetMode="External" Id="rId31" /><Relationship Type="http://schemas.openxmlformats.org/officeDocument/2006/relationships/hyperlink" Target="https://arxiv.org/abs/2605.24248" TargetMode="External" Id="rId32" /><Relationship Type="http://schemas.openxmlformats.org/officeDocument/2006/relationships/hyperlink" Target="https://doi.org/10.1109/AIoT66900.2025.00032" TargetMode="External" Id="rId33" /><Relationship Type="http://schemas.openxmlformats.org/officeDocument/2006/relationships/hyperlink" Target="https://arxiv.org/abs/2508.10991" TargetMode="External" Id="rId34" /><Relationship Type="http://schemas.openxmlformats.org/officeDocument/2006/relationships/hyperlink" Target="https://arxiv.org/abs/2506.01333" TargetMode="External" Id="rId35" /><Relationship Type="http://schemas.openxmlformats.org/officeDocument/2006/relationships/hyperlink" Target="https://arxiv.org/abs/2609.19091" TargetMode="External" Id="rId36" /><Relationship Type="http://schemas.openxmlformats.org/officeDocument/2006/relationships/hyperlink" Target="https://arxiv.org/abs/2609.18217" TargetMode="External" Id="rId37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0" customWidth="1" style="10" min="1" max="1"/>
  </cols>
  <sheetData>
    <row r="1" ht="15" customHeight="1" s="11">
      <c r="A1" s="12" t="inlineStr">
        <is>
          <t>LEMBAR KODING PERTAHANAN MCP - SALINAN BUTA UNTUK KODER KEDUA</t>
        </is>
      </c>
    </row>
    <row r="2" ht="15" customHeight="1" s="11">
      <c r="A2" s="13" t="n"/>
    </row>
    <row r="3" ht="15" customHeight="1" s="11">
      <c r="A3" s="12" t="inlineStr">
        <is>
          <t>ATURAN INDEPENDENSI</t>
        </is>
      </c>
    </row>
    <row r="4" ht="15" customHeight="1" s="11">
      <c r="A4" s="13" t="inlineStr">
        <is>
          <t>1. Kode setiap baris sendiri dari teks paper. Jangan mencari, meminta, atau melihat kode koder pertama, dan jangan berdiskusi tentang baris mana pun sebelum lembar diserahkan.</t>
        </is>
      </c>
    </row>
    <row r="5" ht="15" customHeight="1" s="11">
      <c r="A5" s="13" t="inlineStr">
        <is>
          <t>2. Jangan meminta rekomendasi kode dari alat AI. Alat boleh dipakai untuk membaca atau mencari kalimat di teks, tetapi keputusan kode adalah milik Anda.</t>
        </is>
      </c>
    </row>
    <row r="6" ht="15" customHeight="1" s="11">
      <c r="A6" s="13" t="inlineStr">
        <is>
          <t>3. Komposisi lembar tidak diketahui. Jangan menebak berapa baris yang "seharusnya" pertahanan atau non-pertahanan.</t>
        </is>
      </c>
    </row>
    <row r="7" ht="15" customHeight="1" s="11">
      <c r="A7" s="13" t="n"/>
    </row>
    <row r="8" ht="15" customHeight="1" s="11">
      <c r="A8" s="12" t="inlineStr">
        <is>
          <t>CARA MENGISI</t>
        </is>
      </c>
    </row>
    <row r="9" ht="23.85" customHeight="1" s="11">
      <c r="A9" s="13" t="inlineStr">
        <is>
          <t>4. Untuk SETIAP baris, isi kolom "peran" lebih dulu (lihat Kamus_Kode). Bila peran Anda BUKAN defense_primary, defense_secondary, atau proposal_only, berhenti; kosongkan kolom lain.</t>
        </is>
      </c>
    </row>
    <row r="10" ht="23.85" customHeight="1" s="11">
      <c r="A10" s="13" t="inlineStr">
        <is>
          <t>5. Bila peran Anda adalah salah satu dari tiga peran pertahanan, isi kolom lain sesuai Kamus_Kode dan Pedoman_Pengisian_Lembar_Koding_v1.1 (terpisah) beserta Addendum A1 v3.2.</t>
        </is>
      </c>
    </row>
    <row r="11" ht="23.85" customHeight="1" s="11">
      <c r="A11" s="13" t="inlineStr">
        <is>
          <t>6. Kode evaluasi dari bagian metode dan evaluasi teks lengkap, bukan dari judul atau abstrak. Tanpa teks lengkap: isi teks_lengkap_tersedia = tidak, peran, nama, paradigma, ringkasan, klaim kelas; kosongkan kolom evaluasi.</t>
        </is>
      </c>
    </row>
    <row r="12" ht="15" customHeight="1" s="11">
      <c r="A12" s="13" t="inlineStr">
        <is>
          <t>7. adaptif = ya wajib disertai kutipan verbatim maks 25 kata. lokasi_bukti wajib untuk setiap entri yang dievaluasi.</t>
        </is>
      </c>
    </row>
    <row r="13" ht="15" customHeight="1" s="11">
      <c r="A13" s="13" t="inlineStr">
        <is>
          <t>8. Maturitas dan cek_konsistensi dihitung otomatis; jangan diedit. Kolom cek_konsistensi harus kosong pada baris yang selesai.</t>
        </is>
      </c>
    </row>
    <row r="14" ht="15" customHeight="1" s="11">
      <c r="A14" s="13" t="inlineStr">
        <is>
          <t>9. Bila ragu, pakai kode paling konservatif (tidak_jelas, kosong, none) dan tulis "DISKUSI:" di catatan.</t>
        </is>
      </c>
    </row>
    <row r="15" ht="15" customHeight="1" s="11">
      <c r="A15" s="13" t="inlineStr">
        <is>
          <t>10. Simpan sebagai KODER2_SELESAI.xlsx dan serahkan hanya kepada koordinator.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10" min="1" max="1"/>
    <col width="48" customWidth="1" style="10" min="2" max="2"/>
    <col width="7" customWidth="1" style="10" min="3" max="3"/>
    <col width="34" customWidth="1" style="10" min="4" max="4"/>
    <col width="12" customWidth="1" style="10" min="5" max="5"/>
    <col width="20" customWidth="1" style="10" min="6" max="6"/>
    <col width="22" customWidth="1" style="10" min="7" max="7"/>
    <col width="24" customWidth="1" style="10" min="8" max="8"/>
    <col width="44" customWidth="1" style="10" min="9" max="9"/>
    <col width="13" customWidth="1" style="10" min="10" max="10"/>
    <col width="16" customWidth="1" style="10" min="11" max="11"/>
    <col width="14" customWidth="1" style="10" min="12" max="12"/>
    <col width="16" customWidth="1" style="10" min="13" max="13"/>
    <col width="18" customWidth="1" style="10" min="14" max="14"/>
    <col width="20" customWidth="1" style="10" min="15" max="15"/>
    <col width="26" customWidth="1" style="10" min="16" max="16"/>
    <col width="16" customWidth="1" style="10" min="17" max="17"/>
    <col width="18" customWidth="1" style="10" min="18" max="18"/>
    <col width="40" customWidth="1" style="10" min="19" max="19"/>
    <col width="20" customWidth="1" style="10" min="20" max="21"/>
    <col width="26" customWidth="1" style="10" min="22" max="22"/>
    <col width="30" customWidth="1" style="10" min="23" max="23"/>
    <col width="12" customWidth="1" style="10" min="24" max="24"/>
    <col width="44" customWidth="1" style="10" min="25" max="25"/>
  </cols>
  <sheetData>
    <row r="1" ht="48" customHeight="1" s="11">
      <c r="A1" s="14" t="inlineStr">
        <is>
          <t>record_id</t>
        </is>
      </c>
      <c r="B1" s="14" t="inlineStr">
        <is>
          <t>judul</t>
        </is>
      </c>
      <c r="C1" s="14" t="inlineStr">
        <is>
          <t>tahun</t>
        </is>
      </c>
      <c r="D1" s="14" t="inlineStr">
        <is>
          <t>tautan</t>
        </is>
      </c>
      <c r="E1" s="14" t="inlineStr">
        <is>
          <t>teks_lengkap_tersedia</t>
        </is>
      </c>
      <c r="F1" s="14" t="inlineStr">
        <is>
          <t>peran</t>
        </is>
      </c>
      <c r="G1" s="14" t="inlineStr">
        <is>
          <t>nama_pertahanan</t>
        </is>
      </c>
      <c r="H1" s="14" t="inlineStr">
        <is>
          <t>paradigma</t>
        </is>
      </c>
      <c r="I1" s="14" t="inlineStr">
        <is>
          <t>ringkasan_mekanisme (kata sendiri, maks 2 kalimat)</t>
        </is>
      </c>
      <c r="J1" s="14" t="inlineStr">
        <is>
          <t>llm_dlm_keputusan</t>
        </is>
      </c>
      <c r="K1" s="14" t="inlineStr">
        <is>
          <t>titik_penegakan</t>
        </is>
      </c>
      <c r="L1" s="14" t="inlineStr">
        <is>
          <t>crossings (R1-R7, pisah ;)</t>
        </is>
      </c>
      <c r="M1" s="14" t="inlineStr">
        <is>
          <t>kelas_diklaim (A1-D3, pisah ;)</t>
        </is>
      </c>
      <c r="N1" s="14" t="inlineStr">
        <is>
          <t>kelas_dievaluasi (hanya yang ada eksperimen)</t>
        </is>
      </c>
      <c r="O1" s="14" t="inlineStr">
        <is>
          <t>jenis_evaluasi</t>
        </is>
      </c>
      <c r="P1" s="14" t="inlineStr">
        <is>
          <t>evaluator_independen (record_id)</t>
        </is>
      </c>
      <c r="Q1" s="14" t="inlineStr">
        <is>
          <t>asal_set_serangan</t>
        </is>
      </c>
      <c r="R1" s="14" t="inlineStr">
        <is>
          <t>adaptif</t>
        </is>
      </c>
      <c r="S1" s="14" t="inlineStr">
        <is>
          <t>kutipan_adaptif (maks 25 kata)</t>
        </is>
      </c>
      <c r="T1" s="14" t="inlineStr">
        <is>
          <t>lokasi_bukti (bagian/tabel/hal.)</t>
        </is>
      </c>
      <c r="U1" s="14" t="inlineStr">
        <is>
          <t>deployment</t>
        </is>
      </c>
      <c r="V1" s="14" t="inlineStr">
        <is>
          <t>biaya_utilitas</t>
        </is>
      </c>
      <c r="W1" s="14" t="inlineStr">
        <is>
          <t>catatan</t>
        </is>
      </c>
      <c r="X1" s="14" t="inlineStr">
        <is>
          <t>maturitas (otomatis)</t>
        </is>
      </c>
      <c r="Y1" s="14" t="inlineStr">
        <is>
          <t>cek_konsistensi (otomatis)</t>
        </is>
      </c>
    </row>
    <row r="2" ht="35.05" customHeight="1" s="11">
      <c r="A2" s="15" t="inlineStr">
        <is>
          <t>saeid-2025-semantic-attacks-tool-augmented-llms</t>
        </is>
      </c>
      <c r="B2" s="15" t="inlineStr">
        <is>
          <t>Semantic Attacks on Tool-Augmented LLMs: Securing the Model Context Protocol Against Descriptor-Level Manipulation</t>
        </is>
      </c>
      <c r="C2" s="15" t="n">
        <v>2025</v>
      </c>
      <c r="D2" s="16" t="inlineStr">
        <is>
          <t>https://arxiv.org/abs/2512.06556</t>
        </is>
      </c>
      <c r="E2" s="17" t="inlineStr">
        <is>
          <t>ya</t>
        </is>
      </c>
      <c r="F2" s="17" t="inlineStr">
        <is>
          <t>defense_primary</t>
        </is>
      </c>
      <c r="G2" s="17" t="inlineStr">
        <is>
          <t>unnamed:layered-descriptor-defense</t>
        </is>
      </c>
      <c r="H2" s="17" t="inlineStr">
        <is>
          <t>content_inspection_runtime</t>
        </is>
      </c>
      <c r="I2" s="17" t="inlineStr">
        <is>
          <t>Memverifikasi integritas deskriptor serta menjalankan pemeriksaan semantik pra-konteks dengan LLM bantu dan guardrail runtime untuk mencegah manipulasi deskriptor tool.</t>
        </is>
      </c>
      <c r="J2" s="17" t="inlineStr">
        <is>
          <t>ya</t>
        </is>
      </c>
      <c r="K2" s="17" t="inlineStr">
        <is>
          <t>C</t>
        </is>
      </c>
      <c r="L2" s="17" t="inlineStr">
        <is>
          <t>R2;R7</t>
        </is>
      </c>
      <c r="M2" s="17" t="inlineStr">
        <is>
          <t>A1;A3;B1</t>
        </is>
      </c>
      <c r="N2" s="17" t="inlineStr">
        <is>
          <t>A1;A3;B1</t>
        </is>
      </c>
      <c r="O2" s="17" t="inlineStr">
        <is>
          <t>author_run</t>
        </is>
      </c>
      <c r="P2" s="17" t="n"/>
      <c r="Q2" s="17" t="inlineStr">
        <is>
          <t>authors_own</t>
        </is>
      </c>
      <c r="R2" s="17" t="inlineStr">
        <is>
          <t>tidak</t>
        </is>
      </c>
      <c r="S2" s="17" t="n"/>
      <c r="T2" s="17" t="inlineStr">
        <is>
          <t>Sec V; Table XXV; Sec IV-E</t>
        </is>
      </c>
      <c r="U2" s="17" t="inlineStr">
        <is>
          <t>none</t>
        </is>
      </c>
      <c r="V2" s="17" t="inlineStr">
        <is>
          <t>latensi 2.9-4.7 s (Tabel XXV)</t>
        </is>
      </c>
      <c r="W2" s="17" t="inlineStr">
        <is>
          <t>Pertahanan berlapis integritas deskriptor, pemeriksaan semantik LLM bantu, dan guardrail runtime terhadap Tool Poisoning, Shadowing, dan Rug Pull.</t>
        </is>
      </c>
      <c r="X2" s="18">
        <f>IF(F2="","",IF(OR(F2="attack",F2="survey_review",F2="benchmark_measurement",F2="position_other",F2="not_defense"),"n/a",IF(OR(U2="spec_normatif",U2="produksi_bukti_publik"),"L3",IF(ISNUMBER(SEARCH("independent",O2)),"L2",IF(O2="author_run","L1",IF(O2="none","L0",""))))))</f>
        <v/>
      </c>
      <c r="Y2" s="18">
        <f>IF(F2="","",IF(AND(H2="deterministic_policy",J2="ya"),"PERIKSA: deterministic_policy tetapi LLM/ML ada dalam keputusan. ","")&amp;IF(AND(R2="ya",S2=""),"PERIKSA: adaptif=ya wajib ada kutipan. ","")&amp;IF(AND(O2="none",R2&lt;&gt;"n/a_tanpa_evaluasi",R2&lt;&gt;""),"PERIKSA: tanpa evaluasi, adaptif harus n/a. ","")&amp;IF(AND(OR(O2="author_run",O2="author_run+independent",O2="independent_only"),N2=""),"PERIKSA: isi kelas_dievaluasi. ","")&amp;IF(AND(OR(O2="author_run",O2="author_run+independent",O2="independent_only"),T2=""),"PERIKSA: isi lokasi_bukti. ","")&amp;IF(AND(E2="tidak",O2&lt;&gt;""),"PERIKSA: tanpa teks lengkap, kosongkan kolom evaluasi. ",""))</f>
        <v/>
      </c>
    </row>
    <row r="3" ht="23.85" customHeight="1" s="11">
      <c r="A3" s="15" t="inlineStr">
        <is>
          <t>mohammed-2025-model-context-protocol-mcp-first</t>
        </is>
      </c>
      <c r="B3" s="15" t="inlineStr">
        <is>
          <t>Model Context Protocol (MCP) at First Glance: Studying the Security and Maintainability of MCP Servers</t>
        </is>
      </c>
      <c r="C3" s="15" t="n">
        <v>2025</v>
      </c>
      <c r="D3" s="16" t="inlineStr">
        <is>
          <t>https://arxiv.org/abs/2506.13538</t>
        </is>
      </c>
      <c r="E3" s="17" t="inlineStr">
        <is>
          <t>ya</t>
        </is>
      </c>
      <c r="F3" s="17" t="inlineStr">
        <is>
          <t>benchmark_measurement</t>
        </is>
      </c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inlineStr">
        <is>
          <t>Studi pengukuran empiris skala besar pertama terhadap 1.899 server MCP open-source untuk menganalisis metrik kesehatan, keamanan, dan keterpeliharaan tanpa implementasi mekanisme mitigasi.</t>
        </is>
      </c>
      <c r="X3" s="18">
        <f>IF(F3="","",IF(OR(F3="attack",F3="survey_review",F3="benchmark_measurement",F3="position_other",F3="not_defense"),"n/a",IF(OR(U3="spec_normatif",U3="produksi_bukti_publik"),"L3",IF(ISNUMBER(SEARCH("independent",O3)),"L2",IF(O3="author_run","L1",IF(O3="none","L0",""))))))</f>
        <v/>
      </c>
      <c r="Y3" s="18">
        <f>IF(F3="","",IF(AND(H3="deterministic_policy",J3="ya"),"PERIKSA: deterministic_policy tetapi LLM/ML ada dalam keputusan. ","")&amp;IF(AND(R3="ya",S3=""),"PERIKSA: adaptif=ya wajib ada kutipan. ","")&amp;IF(AND(O3="none",R3&lt;&gt;"n/a_tanpa_evaluasi",R3&lt;&gt;""),"PERIKSA: tanpa evaluasi, adaptif harus n/a. ","")&amp;IF(AND(OR(O3="author_run",O3="author_run+independent",O3="independent_only"),N3=""),"PERIKSA: isi kelas_dievaluasi. ","")&amp;IF(AND(OR(O3="author_run",O3="author_run+independent",O3="independent_only"),T3=""),"PERIKSA: isi lokasi_bukti. ","")&amp;IF(AND(E3="tidak",O3&lt;&gt;""),"PERIKSA: tanpa teks lengkap, kosongkan kolom evaluasi. ",""))</f>
        <v/>
      </c>
    </row>
    <row r="4" ht="23.85" customHeight="1" s="11">
      <c r="A4" s="15" t="inlineStr">
        <is>
          <t>xinyi-2026-model-context-protocol-mcp-landscape</t>
        </is>
      </c>
      <c r="B4" s="15" t="inlineStr">
        <is>
          <t>Model Context Protocol (MCP): Landscape, Security Threats, and Future Research Directions</t>
        </is>
      </c>
      <c r="C4" s="15" t="n">
        <v>2026</v>
      </c>
      <c r="D4" s="16" t="inlineStr">
        <is>
          <t>https://arxiv.org/abs/2503.23278</t>
        </is>
      </c>
      <c r="E4" s="17" t="inlineStr">
        <is>
          <t>ya</t>
        </is>
      </c>
      <c r="F4" s="17" t="inlineStr">
        <is>
          <t>survey_review</t>
        </is>
      </c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inlineStr">
        <is>
          <t>Survei dan tinjauan komprehensif arsitektur, siklus hidup server MCP, dan taksonomi ancaman (Hou et al. adalah contoh terkalibrasi pedoman untuk survey_review).</t>
        </is>
      </c>
      <c r="X4" s="18">
        <f>IF(F4="","",IF(OR(F4="attack",F4="survey_review",F4="benchmark_measurement",F4="position_other",F4="not_defense"),"n/a",IF(OR(U4="spec_normatif",U4="produksi_bukti_publik"),"L3",IF(ISNUMBER(SEARCH("independent",O4)),"L2",IF(O4="author_run","L1",IF(O4="none","L0",""))))))</f>
        <v/>
      </c>
      <c r="Y4" s="18">
        <f>IF(F4="","",IF(AND(H4="deterministic_policy",J4="ya"),"PERIKSA: deterministic_policy tetapi LLM/ML ada dalam keputusan. ","")&amp;IF(AND(R4="ya",S4=""),"PERIKSA: adaptif=ya wajib ada kutipan. ","")&amp;IF(AND(O4="none",R4&lt;&gt;"n/a_tanpa_evaluasi",R4&lt;&gt;""),"PERIKSA: tanpa evaluasi, adaptif harus n/a. ","")&amp;IF(AND(OR(O4="author_run",O4="author_run+independent",O4="independent_only"),N4=""),"PERIKSA: isi kelas_dievaluasi. ","")&amp;IF(AND(OR(O4="author_run",O4="author_run+independent",O4="independent_only"),T4=""),"PERIKSA: isi lokasi_bukti. ","")&amp;IF(AND(E4="tidak",O4&lt;&gt;""),"PERIKSA: tanpa teks lengkap, kosongkan kolom evaluasi. ",""))</f>
        <v/>
      </c>
    </row>
    <row r="5" ht="23.85" customHeight="1" s="11">
      <c r="A5" s="15" t="inlineStr">
        <is>
          <t>john-2026-mcp-safety-audit-llms-model</t>
        </is>
      </c>
      <c r="B5" s="15" t="inlineStr">
        <is>
          <t>MCP safety audit: LLMs with the model context protocol allow major security exploits</t>
        </is>
      </c>
      <c r="C5" s="15" t="n">
        <v>2026</v>
      </c>
      <c r="D5" s="16" t="inlineStr">
        <is>
          <t>https://arxiv.org/abs/2504.03767</t>
        </is>
      </c>
      <c r="E5" s="17" t="inlineStr">
        <is>
          <t>ya</t>
        </is>
      </c>
      <c r="F5" s="17" t="inlineStr">
        <is>
          <t>defense_secondary</t>
        </is>
      </c>
      <c r="G5" s="17" t="inlineStr">
        <is>
          <t>McpSafetyScanner</t>
        </is>
      </c>
      <c r="H5" s="17" t="inlineStr">
        <is>
          <t>content_inspection_static</t>
        </is>
      </c>
      <c r="I5" s="17" t="inlineStr">
        <is>
          <t>Memeriksa definisi tool, resource, dan prompt server MCP dengan beberapa agen LLM secara statis untuk mendeteksi kerentanan dan menyarankan remediasi sebelum deployment.</t>
        </is>
      </c>
      <c r="J5" s="17" t="inlineStr">
        <is>
          <t>ya</t>
        </is>
      </c>
      <c r="K5" s="17" t="inlineStr">
        <is>
          <t>offline_analysis</t>
        </is>
      </c>
      <c r="L5" s="17" t="inlineStr">
        <is>
          <t>R2</t>
        </is>
      </c>
      <c r="M5" s="17" t="inlineStr">
        <is>
          <t>A2;C1;C5</t>
        </is>
      </c>
      <c r="N5" s="17" t="inlineStr">
        <is>
          <t>A2;C1;C5</t>
        </is>
      </c>
      <c r="O5" s="17" t="inlineStr">
        <is>
          <t>author_run</t>
        </is>
      </c>
      <c r="P5" s="17" t="n"/>
      <c r="Q5" s="17" t="inlineStr">
        <is>
          <t>authors_own</t>
        </is>
      </c>
      <c r="R5" s="17" t="inlineStr">
        <is>
          <t>tidak</t>
        </is>
      </c>
      <c r="S5" s="17" t="n"/>
      <c r="T5" s="17" t="inlineStr">
        <is>
          <t>Sec 5; Fig 20; hal. 20-21</t>
        </is>
      </c>
      <c r="U5" s="17" t="inlineStr">
        <is>
          <t>prototype_open_source</t>
        </is>
      </c>
      <c r="V5" s="17" t="inlineStr">
        <is>
          <t>latensi &lt;1 menit/laporan di M2 Max MacBook Pro (Background / Sec 5)</t>
        </is>
      </c>
      <c r="W5" s="17" t="inlineStr">
        <is>
          <t>Paper serangan audit keamanan yang mengimplementasikan dan mengevaluasi pemindai berbasis agen (McpSafetyScanner) sebagai mitigasi sekunder.</t>
        </is>
      </c>
      <c r="X5" s="18">
        <f>IF(F5="","",IF(OR(F5="attack",F5="survey_review",F5="benchmark_measurement",F5="position_other",F5="not_defense"),"n/a",IF(OR(U5="spec_normatif",U5="produksi_bukti_publik"),"L3",IF(ISNUMBER(SEARCH("independent",O5)),"L2",IF(O5="author_run","L1",IF(O5="none","L0",""))))))</f>
        <v/>
      </c>
      <c r="Y5" s="18">
        <f>IF(F5="","",IF(AND(H5="deterministic_policy",J5="ya"),"PERIKSA: deterministic_policy tetapi LLM/ML ada dalam keputusan. ","")&amp;IF(AND(R5="ya",S5=""),"PERIKSA: adaptif=ya wajib ada kutipan. ","")&amp;IF(AND(O5="none",R5&lt;&gt;"n/a_tanpa_evaluasi",R5&lt;&gt;""),"PERIKSA: tanpa evaluasi, adaptif harus n/a. ","")&amp;IF(AND(OR(O5="author_run",O5="author_run+independent",O5="independent_only"),N5=""),"PERIKSA: isi kelas_dievaluasi. ","")&amp;IF(AND(OR(O5="author_run",O5="author_run+independent",O5="independent_only"),T5=""),"PERIKSA: isi lokasi_bukti. ","")&amp;IF(AND(E5="tidak",O5&lt;&gt;""),"PERIKSA: tanpa teks lengkap, kosongkan kolom evaluasi. ",""))</f>
        <v/>
      </c>
    </row>
    <row r="6" ht="23.85" customHeight="1" s="11">
      <c r="A6" s="15" t="inlineStr">
        <is>
          <t>om-2025-comprehensive-security-framework-model-context</t>
        </is>
      </c>
      <c r="B6" s="15" t="inlineStr">
        <is>
          <t>A Comprehensive Security Framework for the Model Context Protocol (MCP) in Multi-Agent AI Systems</t>
        </is>
      </c>
      <c r="C6" s="15" t="n">
        <v>2025</v>
      </c>
      <c r="D6" s="16" t="inlineStr">
        <is>
          <t>https://doi.org/10.1109/acai68217.2025.11406667</t>
        </is>
      </c>
      <c r="E6" s="17" t="inlineStr">
        <is>
          <t>tidak</t>
        </is>
      </c>
      <c r="F6" s="17" t="inlineStr">
        <is>
          <t>proposal_only</t>
        </is>
      </c>
      <c r="G6" s="17" t="inlineStr">
        <is>
          <t>unnamed:mcp-security-framework</t>
        </is>
      </c>
      <c r="H6" s="17" t="inlineStr">
        <is>
          <t>content_inspection_runtime</t>
        </is>
      </c>
      <c r="I6" s="17" t="inlineStr">
        <is>
          <t>Kerangka kerja konseptual kontrol keamanan arsitektural dan pemfilteran pada antarmuka tool dan batas konteks klien-server MCP.</t>
        </is>
      </c>
      <c r="J6" s="17" t="inlineStr">
        <is>
          <t>tidak_jelas</t>
        </is>
      </c>
      <c r="K6" s="17" t="inlineStr">
        <is>
          <t>gateway_proxy</t>
        </is>
      </c>
      <c r="L6" s="17" t="inlineStr">
        <is>
          <t>R2;R4</t>
        </is>
      </c>
      <c r="M6" s="17" t="inlineStr">
        <is>
          <t>A1;A2;C3</t>
        </is>
      </c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inlineStr">
        <is>
          <t>Teks lengkap paywalled murni (IEEE ACAI 2025). Mengusulkan kerangka kerja konseptual tanpa data empiris akses terbuka. Kolom evaluasi dikosongkan sesuai Aturan 3.</t>
        </is>
      </c>
      <c r="X6" s="18">
        <f>IF(F6="","",IF(OR(F6="attack",F6="survey_review",F6="benchmark_measurement",F6="position_other",F6="not_defense"),"n/a",IF(OR(U6="spec_normatif",U6="produksi_bukti_publik"),"L3",IF(ISNUMBER(SEARCH("independent",O6)),"L2",IF(O6="author_run","L1",IF(O6="none","L0",""))))))</f>
        <v/>
      </c>
      <c r="Y6" s="18">
        <f>IF(F6="","",IF(AND(H6="deterministic_policy",J6="ya"),"PERIKSA: deterministic_policy tetapi LLM/ML ada dalam keputusan. ","")&amp;IF(AND(R6="ya",S6=""),"PERIKSA: adaptif=ya wajib ada kutipan. ","")&amp;IF(AND(O6="none",R6&lt;&gt;"n/a_tanpa_evaluasi",R6&lt;&gt;""),"PERIKSA: tanpa evaluasi, adaptif harus n/a. ","")&amp;IF(AND(OR(O6="author_run",O6="author_run+independent",O6="independent_only"),N6=""),"PERIKSA: isi kelas_dievaluasi. ","")&amp;IF(AND(OR(O6="author_run",O6="author_run+independent",O6="independent_only"),T6=""),"PERIKSA: isi lokasi_bukti. ","")&amp;IF(AND(E6="tidak",O6&lt;&gt;""),"PERIKSA: tanpa teks lengkap, kosongkan kolom evaluasi. ",""))</f>
        <v/>
      </c>
    </row>
    <row r="7" ht="23.85" customHeight="1" s="11">
      <c r="A7" s="15" t="inlineStr">
        <is>
          <t>huihao-2025-mcip-protecting-mcp-safety-via</t>
        </is>
      </c>
      <c r="B7" s="15" t="inlineStr">
        <is>
          <t>MCIP: Protecting MCP Safety via Model Contextual Integrity Protocol</t>
        </is>
      </c>
      <c r="C7" s="15" t="n">
        <v>2025</v>
      </c>
      <c r="D7" s="16" t="inlineStr">
        <is>
          <t>https://doi.org/10.18653/v1/2025.emnlp-main.62</t>
        </is>
      </c>
      <c r="E7" s="17" t="inlineStr">
        <is>
          <t>ya</t>
        </is>
      </c>
      <c r="F7" s="17" t="inlineStr">
        <is>
          <t>defense_primary</t>
        </is>
      </c>
      <c r="G7" s="17" t="inlineStr">
        <is>
          <t>MCIP</t>
        </is>
      </c>
      <c r="H7" s="17" t="inlineStr">
        <is>
          <t>content_inspection_runtime</t>
        </is>
      </c>
      <c r="I7" s="17" t="inlineStr">
        <is>
          <t>Memantau alur pemanggilan tool dan memeriksa konteks multi-komponen dengan model pengawas keselamatan (MCIP Guardian) untuk mengidentifikasi 11 kategori risiko sebelum eksekusi.</t>
        </is>
      </c>
      <c r="J7" s="17" t="inlineStr">
        <is>
          <t>ya</t>
        </is>
      </c>
      <c r="K7" s="17" t="inlineStr">
        <is>
          <t>gateway_proxy</t>
        </is>
      </c>
      <c r="L7" s="17" t="inlineStr">
        <is>
          <t>R2;R3;R6</t>
        </is>
      </c>
      <c r="M7" s="17" t="inlineStr">
        <is>
          <t>A1;A2;C1;D1</t>
        </is>
      </c>
      <c r="N7" s="17" t="inlineStr">
        <is>
          <t>A1;A2;C1;D1</t>
        </is>
      </c>
      <c r="O7" s="17" t="inlineStr">
        <is>
          <t>author_run</t>
        </is>
      </c>
      <c r="P7" s="17" t="n"/>
      <c r="Q7" s="17" t="inlineStr">
        <is>
          <t>authors_own</t>
        </is>
      </c>
      <c r="R7" s="17" t="inlineStr">
        <is>
          <t>tidak</t>
        </is>
      </c>
      <c r="S7" s="17" t="n"/>
      <c r="T7" s="17" t="inlineStr">
        <is>
          <t>Sec 5; Table 2; hal. 7-9</t>
        </is>
      </c>
      <c r="U7" s="17" t="inlineStr">
        <is>
          <t>prototype_open_source</t>
        </is>
      </c>
      <c r="V7" s="17" t="inlineStr">
        <is>
          <t>akurasi BFCL-v3 untuk utilitas fungsional non-adversarial (Sec 5 / hal. 8)</t>
        </is>
      </c>
      <c r="W7" s="17" t="inlineStr">
        <is>
          <t>Protokol perluasan integritas kontekstual dengan MCIP Guardian. Penulis secara eksplisit menyatakan evaluasi penyerang adaptif sebagai pekerjaan masa depan (Limitations).</t>
        </is>
      </c>
      <c r="X7" s="18">
        <f>IF(F7="","",IF(OR(F7="attack",F7="survey_review",F7="benchmark_measurement",F7="position_other",F7="not_defense"),"n/a",IF(OR(U7="spec_normatif",U7="produksi_bukti_publik"),"L3",IF(ISNUMBER(SEARCH("independent",O7)),"L2",IF(O7="author_run","L1",IF(O7="none","L0",""))))))</f>
        <v/>
      </c>
      <c r="Y7" s="18">
        <f>IF(F7="","",IF(AND(H7="deterministic_policy",J7="ya"),"PERIKSA: deterministic_policy tetapi LLM/ML ada dalam keputusan. ","")&amp;IF(AND(R7="ya",S7=""),"PERIKSA: adaptif=ya wajib ada kutipan. ","")&amp;IF(AND(O7="none",R7&lt;&gt;"n/a_tanpa_evaluasi",R7&lt;&gt;""),"PERIKSA: tanpa evaluasi, adaptif harus n/a. ","")&amp;IF(AND(OR(O7="author_run",O7="author_run+independent",O7="independent_only"),N7=""),"PERIKSA: isi kelas_dievaluasi. ","")&amp;IF(AND(OR(O7="author_run",O7="author_run+independent",O7="independent_only"),T7=""),"PERIKSA: isi lokasi_bukti. ","")&amp;IF(AND(E7="tidak",O7&lt;&gt;""),"PERIKSA: tanpa teks lengkap, kosongkan kolom evaluasi. ",""))</f>
        <v/>
      </c>
    </row>
    <row r="8" ht="35.05" customHeight="1" s="11">
      <c r="A8" s="15" t="inlineStr">
        <is>
          <t>mohsen-2026-securing-ai-agents-cyber-physical</t>
        </is>
      </c>
      <c r="B8" s="15" t="inlineStr">
        <is>
          <t>Securing AI Agents in Cyber-Physical Systems: A Survey of Environmental Interactions, Deepfake Threats, and Defenses</t>
        </is>
      </c>
      <c r="C8" s="15" t="n">
        <v>2026</v>
      </c>
      <c r="D8" s="16" t="inlineStr">
        <is>
          <t>https://arxiv.org/abs/2601.20184</t>
        </is>
      </c>
      <c r="E8" s="17" t="inlineStr">
        <is>
          <t>ya</t>
        </is>
      </c>
      <c r="F8" s="17" t="inlineStr">
        <is>
          <t>survey_review</t>
        </is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inlineStr">
        <is>
          <t>Survei komprehensif ancaman keamanan dan pertahanan agen AI pada sistem siber-fisik (CPS) yang mengorganisasi literatur dengan metodologi SENTINEL.</t>
        </is>
      </c>
      <c r="X8" s="18">
        <f>IF(F8="","",IF(OR(F8="attack",F8="survey_review",F8="benchmark_measurement",F8="position_other",F8="not_defense"),"n/a",IF(OR(U8="spec_normatif",U8="produksi_bukti_publik"),"L3",IF(ISNUMBER(SEARCH("independent",O8)),"L2",IF(O8="author_run","L1",IF(O8="none","L0",""))))))</f>
        <v/>
      </c>
      <c r="Y8" s="18">
        <f>IF(F8="","",IF(AND(H8="deterministic_policy",J8="ya"),"PERIKSA: deterministic_policy tetapi LLM/ML ada dalam keputusan. ","")&amp;IF(AND(R8="ya",S8=""),"PERIKSA: adaptif=ya wajib ada kutipan. ","")&amp;IF(AND(O8="none",R8&lt;&gt;"n/a_tanpa_evaluasi",R8&lt;&gt;""),"PERIKSA: tanpa evaluasi, adaptif harus n/a. ","")&amp;IF(AND(OR(O8="author_run",O8="author_run+independent",O8="independent_only"),N8=""),"PERIKSA: isi kelas_dievaluasi. ","")&amp;IF(AND(OR(O8="author_run",O8="author_run+independent",O8="independent_only"),T8=""),"PERIKSA: isi lokasi_bukti. ","")&amp;IF(AND(E8="tidak",O8&lt;&gt;""),"PERIKSA: tanpa teks lengkap, kosongkan kolom evaluasi. ",""))</f>
        <v/>
      </c>
    </row>
    <row r="9" ht="23.85" customHeight="1" s="11">
      <c r="A9" s="15" t="inlineStr">
        <is>
          <t>chenning-2026-adr-agentic-detection-system-enterprise</t>
        </is>
      </c>
      <c r="B9" s="15" t="inlineStr">
        <is>
          <t>ADR: An Agentic Detection System for Enterprise Agentic AI Security</t>
        </is>
      </c>
      <c r="C9" s="15" t="n">
        <v>2026</v>
      </c>
      <c r="D9" s="16" t="inlineStr">
        <is>
          <t>https://arxiv.org/abs/2605.17380</t>
        </is>
      </c>
      <c r="E9" s="17" t="inlineStr">
        <is>
          <t>ya</t>
        </is>
      </c>
      <c r="F9" s="17" t="inlineStr">
        <is>
          <t>defense_primary</t>
        </is>
      </c>
      <c r="G9" s="17" t="inlineStr">
        <is>
          <t>ADR</t>
        </is>
      </c>
      <c r="H9" s="17" t="inlineStr">
        <is>
          <t>content_inspection_runtime</t>
        </is>
      </c>
      <c r="I9" s="17" t="inlineStr">
        <is>
          <t>Memantau lalu lintas MCP perusahaan dengan pipeline dua tahap (triase cepat GPT-4o dan penalaran Claude Sonnet) untuk mendeteksi paparan kredensial dan manipulasi agen secara runtime.</t>
        </is>
      </c>
      <c r="J9" s="17" t="inlineStr">
        <is>
          <t>ya</t>
        </is>
      </c>
      <c r="K9" s="17" t="inlineStr">
        <is>
          <t>gateway_proxy</t>
        </is>
      </c>
      <c r="L9" s="17" t="inlineStr">
        <is>
          <t>R2;R3;R6</t>
        </is>
      </c>
      <c r="M9" s="17" t="inlineStr">
        <is>
          <t>A1;A2;C1;D1;D2</t>
        </is>
      </c>
      <c r="N9" s="17" t="inlineStr">
        <is>
          <t>A1;A2;C1;D1;D2</t>
        </is>
      </c>
      <c r="O9" s="17" t="inlineStr">
        <is>
          <t>author_run</t>
        </is>
      </c>
      <c r="P9" s="17" t="n"/>
      <c r="Q9" s="17" t="inlineStr">
        <is>
          <t>mixed</t>
        </is>
      </c>
      <c r="R9" s="17" t="inlineStr">
        <is>
          <t>tidak</t>
        </is>
      </c>
      <c r="S9" s="17" t="n"/>
      <c r="T9" s="17" t="inlineStr">
        <is>
          <t>Sec 5; Sec 6; Table 3; Table 4; hal. 8-10</t>
        </is>
      </c>
      <c r="U9" s="17" t="inlineStr">
        <is>
          <t>produksi_bukti_publik</t>
        </is>
      </c>
      <c r="V9" s="17" t="inlineStr">
        <is>
          <t>latensi dan biaya inferensi dilaporkan (Tabel 4 / Sec 5-6)</t>
        </is>
      </c>
      <c r="W9" s="17" t="inlineStr">
        <is>
          <t>Sistem deteksi enterprise yang dideploy di UBER (&gt;7.200 host, 10 bulan) dengan bukti publik produksi (L3). Dua tahap LLM (GPT-4o + Sonnet).</t>
        </is>
      </c>
      <c r="X9" s="18">
        <f>IF(F9="","",IF(OR(F9="attack",F9="survey_review",F9="benchmark_measurement",F9="position_other",F9="not_defense"),"n/a",IF(OR(U9="spec_normatif",U9="produksi_bukti_publik"),"L3",IF(ISNUMBER(SEARCH("independent",O9)),"L2",IF(O9="author_run","L1",IF(O9="none","L0",""))))))</f>
        <v/>
      </c>
      <c r="Y9" s="18">
        <f>IF(F9="","",IF(AND(H9="deterministic_policy",J9="ya"),"PERIKSA: deterministic_policy tetapi LLM/ML ada dalam keputusan. ","")&amp;IF(AND(R9="ya",S9=""),"PERIKSA: adaptif=ya wajib ada kutipan. ","")&amp;IF(AND(O9="none",R9&lt;&gt;"n/a_tanpa_evaluasi",R9&lt;&gt;""),"PERIKSA: tanpa evaluasi, adaptif harus n/a. ","")&amp;IF(AND(OR(O9="author_run",O9="author_run+independent",O9="independent_only"),N9=""),"PERIKSA: isi kelas_dievaluasi. ","")&amp;IF(AND(OR(O9="author_run",O9="author_run+independent",O9="independent_only"),T9=""),"PERIKSA: isi lokasi_bukti. ","")&amp;IF(AND(E9="tidak",O9&lt;&gt;""),"PERIKSA: tanpa teks lengkap, kosongkan kolom evaluasi. ",""))</f>
        <v/>
      </c>
    </row>
    <row r="10" ht="35.05" customHeight="1" s="11">
      <c r="A10" s="15" t="inlineStr">
        <is>
          <t>panduranga-2026-delegation-trust-empirical-gap-analysis</t>
        </is>
      </c>
      <c r="B10" s="15" t="inlineStr">
        <is>
          <t>Delegation Without Trust: An Empirical Gap Analysis of Identity, Authorization, and Runtime Governance in Multi-Agent LLM Systems</t>
        </is>
      </c>
      <c r="C10" s="15" t="n">
        <v>2026</v>
      </c>
      <c r="D10" s="16" t="inlineStr">
        <is>
          <t>https://arxiv.org/abs/2609.00267</t>
        </is>
      </c>
      <c r="E10" s="17" t="inlineStr">
        <is>
          <t>ya</t>
        </is>
      </c>
      <c r="F10" s="17" t="inlineStr">
        <is>
          <t>defense_secondary</t>
        </is>
      </c>
      <c r="G10" s="17" t="inlineStr">
        <is>
          <t>unnamed:authorization-broker-pep</t>
        </is>
      </c>
      <c r="H10" s="17" t="inlineStr">
        <is>
          <t>capability_or_token</t>
        </is>
      </c>
      <c r="I10" s="17" t="inlineStr">
        <is>
          <t>Broker otorisasi di luar model yang memverifikasi token kapabilitas yang dilemahkan (attenuated) dan terikat identitas beban kerja SPIFFE pada setiap hop delegasi agen ke server tool.</t>
        </is>
      </c>
      <c r="J10" s="17" t="inlineStr">
        <is>
          <t>tidak</t>
        </is>
      </c>
      <c r="K10" s="17" t="inlineStr">
        <is>
          <t>gateway_proxy</t>
        </is>
      </c>
      <c r="L10" s="17" t="inlineStr">
        <is>
          <t>R3;R4</t>
        </is>
      </c>
      <c r="M10" s="17" t="inlineStr">
        <is>
          <t>C1;C2;C3</t>
        </is>
      </c>
      <c r="N10" s="17" t="inlineStr">
        <is>
          <t>C1;C2;C3</t>
        </is>
      </c>
      <c r="O10" s="17" t="inlineStr">
        <is>
          <t>author_run</t>
        </is>
      </c>
      <c r="P10" s="17" t="n"/>
      <c r="Q10" s="17" t="inlineStr">
        <is>
          <t>authors_own</t>
        </is>
      </c>
      <c r="R10" s="17" t="inlineStr">
        <is>
          <t>tidak</t>
        </is>
      </c>
      <c r="S10" s="17" t="n"/>
      <c r="T10" s="17" t="inlineStr">
        <is>
          <t>Sec 7; Table 4; Fig 1; hal. 7-8</t>
        </is>
      </c>
      <c r="U10" s="17" t="inlineStr">
        <is>
          <t>none</t>
        </is>
      </c>
      <c r="V10" s="17" t="inlineStr">
        <is>
          <t>overhead latensi broker terhadap inferensi model (Sec 7 / hal. 8)</t>
        </is>
      </c>
      <c r="W10" s="17" t="inlineStr">
        <is>
          <t>Studi kesenjangan empiris tata kelola identitas/otorisasi multi-agen, dengan implementasi broker otorisasi/PEP independen berbasis token kapabilitas sebagai mitigasi sekunder.</t>
        </is>
      </c>
      <c r="X10" s="18">
        <f>IF(F10="","",IF(OR(F10="attack",F10="survey_review",F10="benchmark_measurement",F10="position_other",F10="not_defense"),"n/a",IF(OR(U10="spec_normatif",U10="produksi_bukti_publik"),"L3",IF(ISNUMBER(SEARCH("independent",O10)),"L2",IF(O10="author_run","L1",IF(O10="none","L0",""))))))</f>
        <v/>
      </c>
      <c r="Y10" s="18">
        <f>IF(F10="","",IF(AND(H10="deterministic_policy",J10="ya"),"PERIKSA: deterministic_policy tetapi LLM/ML ada dalam keputusan. ","")&amp;IF(AND(R10="ya",S10=""),"PERIKSA: adaptif=ya wajib ada kutipan. ","")&amp;IF(AND(O10="none",R10&lt;&gt;"n/a_tanpa_evaluasi",R10&lt;&gt;""),"PERIKSA: tanpa evaluasi, adaptif harus n/a. ","")&amp;IF(AND(OR(O10="author_run",O10="author_run+independent",O10="independent_only"),N10=""),"PERIKSA: isi kelas_dievaluasi. ","")&amp;IF(AND(OR(O10="author_run",O10="author_run+independent",O10="independent_only"),T10=""),"PERIKSA: isi lokasi_bukti. ","")&amp;IF(AND(E10="tidak",O10&lt;&gt;""),"PERIKSA: tanpa teks lengkap, kosongkan kolom evaluasi. ",""))</f>
        <v/>
      </c>
    </row>
    <row r="11" ht="23.85" customHeight="1" s="11">
      <c r="A11" s="15" t="inlineStr">
        <is>
          <t>pei-2026-rethinking-mcp-security-large-scale</t>
        </is>
      </c>
      <c r="B11" s="15" t="inlineStr">
        <is>
          <t>Rethinking MCP Security: A Large-Scale Study of Runtime MCP Servers and Security Scanner Reliability</t>
        </is>
      </c>
      <c r="C11" s="15" t="n">
        <v>2026</v>
      </c>
      <c r="D11" s="16" t="inlineStr">
        <is>
          <t>https://arxiv.org/abs/2607.11086</t>
        </is>
      </c>
      <c r="E11" s="17" t="inlineStr">
        <is>
          <t>ya</t>
        </is>
      </c>
      <c r="F11" s="17" t="inlineStr">
        <is>
          <t>benchmark_measurement</t>
        </is>
      </c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inlineStr">
        <is>
          <t>Studi pengukuran skala besar (MCPZoo, 64.611 server unik) terhadap server runtime MCP dan keandalan scanner keamanan tanpa mekanisme pertahanan yang diimplementasikan.</t>
        </is>
      </c>
      <c r="X11" s="18">
        <f>IF(F11="","",IF(OR(F11="attack",F11="survey_review",F11="benchmark_measurement",F11="position_other",F11="not_defense"),"n/a",IF(OR(U11="spec_normatif",U11="produksi_bukti_publik"),"L3",IF(ISNUMBER(SEARCH("independent",O11)),"L2",IF(O11="author_run","L1",IF(O11="none","L0",""))))))</f>
        <v/>
      </c>
      <c r="Y11" s="18">
        <f>IF(F11="","",IF(AND(H11="deterministic_policy",J11="ya"),"PERIKSA: deterministic_policy tetapi LLM/ML ada dalam keputusan. ","")&amp;IF(AND(R11="ya",S11=""),"PERIKSA: adaptif=ya wajib ada kutipan. ","")&amp;IF(AND(O11="none",R11&lt;&gt;"n/a_tanpa_evaluasi",R11&lt;&gt;""),"PERIKSA: tanpa evaluasi, adaptif harus n/a. ","")&amp;IF(AND(OR(O11="author_run",O11="author_run+independent",O11="independent_only"),N11=""),"PERIKSA: isi kelas_dievaluasi. ","")&amp;IF(AND(OR(O11="author_run",O11="author_run+independent",O11="independent_only"),T11=""),"PERIKSA: isi lokasi_bukti. ","")&amp;IF(AND(E11="tidak",O11&lt;&gt;""),"PERIKSA: tanpa teks lengkap, kosongkan kolom evaluasi. ",""))</f>
        <v/>
      </c>
    </row>
    <row r="12" ht="23.85" customHeight="1" s="11">
      <c r="A12" s="15" t="inlineStr">
        <is>
          <t>zhiqiang-2025-mindguard-intrinsic-decision-inspection-securing</t>
        </is>
      </c>
      <c r="B12" s="15" t="inlineStr">
        <is>
          <t>MindGuard: Intrinsic Decision Inspection for Securing LLM Agents Against Metadata Poisoning</t>
        </is>
      </c>
      <c r="C12" s="15" t="n">
        <v>2025</v>
      </c>
      <c r="D12" s="16" t="inlineStr">
        <is>
          <t>https://arxiv.org/abs/2508.20412</t>
        </is>
      </c>
      <c r="E12" s="17" t="inlineStr">
        <is>
          <t>ya</t>
        </is>
      </c>
      <c r="F12" s="17" t="inlineStr">
        <is>
          <t>defense_primary</t>
        </is>
      </c>
      <c r="G12" s="17" t="inlineStr">
        <is>
          <t>MindGuard</t>
        </is>
      </c>
      <c r="H12" s="17" t="inlineStr">
        <is>
          <t>content_inspection_runtime</t>
        </is>
      </c>
      <c r="I12" s="17" t="inlineStr">
        <is>
          <t>Memeriksa grafik dependensi keputusan (DDG) berbasis atensi internal LLM secara runtime untuk memverifikasi asal-usul keputusan pemanggilan tool dan mendeteksi poisoning metadata tanpa model LLM eksternal.</t>
        </is>
      </c>
      <c r="J12" s="17" t="inlineStr">
        <is>
          <t>ya</t>
        </is>
      </c>
      <c r="K12" s="17" t="inlineStr">
        <is>
          <t>H</t>
        </is>
      </c>
      <c r="L12" s="17" t="inlineStr">
        <is>
          <t>R1;R3</t>
        </is>
      </c>
      <c r="M12" s="17" t="inlineStr">
        <is>
          <t>A1;A2;C4</t>
        </is>
      </c>
      <c r="N12" s="17" t="inlineStr">
        <is>
          <t>A1;A2;C4</t>
        </is>
      </c>
      <c r="O12" s="17" t="inlineStr">
        <is>
          <t>author_run</t>
        </is>
      </c>
      <c r="P12" s="17" t="n"/>
      <c r="Q12" s="17" t="inlineStr">
        <is>
          <t>authors_own</t>
        </is>
      </c>
      <c r="R12" s="17" t="inlineStr">
        <is>
          <t>tidak</t>
        </is>
      </c>
      <c r="S12" s="17" t="n"/>
      <c r="T12" s="17" t="inlineStr">
        <is>
          <t>Sec 4; Sec 6; Table 1; hal. 6-9</t>
        </is>
      </c>
      <c r="U12" s="17" t="inlineStr">
        <is>
          <t>prototype_open_source</t>
        </is>
      </c>
      <c r="V12" s="17" t="inlineStr">
        <is>
          <t>overhead penghematan 1000+ token/invokasi vs LLM-as-judge (Sec 6 / hal. 8)</t>
        </is>
      </c>
      <c r="W12" s="17" t="inlineStr">
        <is>
          <t>Inspeksi keputusan intrinsik pada representasi atensi internal penalaran LLM runtime (MindGuard) untuk mendeteksi keracunan metadata.</t>
        </is>
      </c>
      <c r="X12" s="18">
        <f>IF(F12="","",IF(OR(F12="attack",F12="survey_review",F12="benchmark_measurement",F12="position_other",F12="not_defense"),"n/a",IF(OR(U12="spec_normatif",U12="produksi_bukti_publik"),"L3",IF(ISNUMBER(SEARCH("independent",O12)),"L2",IF(O12="author_run","L1",IF(O12="none","L0",""))))))</f>
        <v/>
      </c>
      <c r="Y12" s="18">
        <f>IF(F12="","",IF(AND(H12="deterministic_policy",J12="ya"),"PERIKSA: deterministic_policy tetapi LLM/ML ada dalam keputusan. ","")&amp;IF(AND(R12="ya",S12=""),"PERIKSA: adaptif=ya wajib ada kutipan. ","")&amp;IF(AND(O12="none",R12&lt;&gt;"n/a_tanpa_evaluasi",R12&lt;&gt;""),"PERIKSA: tanpa evaluasi, adaptif harus n/a. ","")&amp;IF(AND(OR(O12="author_run",O12="author_run+independent",O12="independent_only"),N12=""),"PERIKSA: isi kelas_dievaluasi. ","")&amp;IF(AND(OR(O12="author_run",O12="author_run+independent",O12="independent_only"),T12=""),"PERIKSA: isi lokasi_bukti. ","")&amp;IF(AND(E12="tidak",O12&lt;&gt;""),"PERIKSA: tanpa teks lengkap, kosongkan kolom evaluasi. ",""))</f>
        <v/>
      </c>
    </row>
    <row r="13" ht="23.85" customHeight="1" s="11">
      <c r="A13" s="15" t="inlineStr">
        <is>
          <t>mina-2026-real-faults-model-context-protocol</t>
        </is>
      </c>
      <c r="B13" s="15" t="inlineStr">
        <is>
          <t>Real Faults in Model Context Protocol (MCP) Software: a Comprehensive Taxonomy</t>
        </is>
      </c>
      <c r="C13" s="15" t="n">
        <v>2026</v>
      </c>
      <c r="D13" s="16" t="inlineStr">
        <is>
          <t>https://arxiv.org/abs/2603.05637</t>
        </is>
      </c>
      <c r="E13" s="17" t="inlineStr">
        <is>
          <t>ya</t>
        </is>
      </c>
      <c r="F13" s="17" t="inlineStr">
        <is>
          <t>survey_review</t>
        </is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inlineStr">
        <is>
          <t>Taksonomi empiris pertama tentang kesalahan/faults perangkat lunak server MCP dan survei praktisi; tidak mengimplementasikan mekanisme mitigasi.</t>
        </is>
      </c>
      <c r="X13" s="18">
        <f>IF(F13="","",IF(OR(F13="attack",F13="survey_review",F13="benchmark_measurement",F13="position_other",F13="not_defense"),"n/a",IF(OR(U13="spec_normatif",U13="produksi_bukti_publik"),"L3",IF(ISNUMBER(SEARCH("independent",O13)),"L2",IF(O13="author_run","L1",IF(O13="none","L0",""))))))</f>
        <v/>
      </c>
      <c r="Y13" s="18">
        <f>IF(F13="","",IF(AND(H13="deterministic_policy",J13="ya"),"PERIKSA: deterministic_policy tetapi LLM/ML ada dalam keputusan. ","")&amp;IF(AND(R13="ya",S13=""),"PERIKSA: adaptif=ya wajib ada kutipan. ","")&amp;IF(AND(O13="none",R13&lt;&gt;"n/a_tanpa_evaluasi",R13&lt;&gt;""),"PERIKSA: tanpa evaluasi, adaptif harus n/a. ","")&amp;IF(AND(OR(O13="author_run",O13="author_run+independent",O13="independent_only"),N13=""),"PERIKSA: isi kelas_dievaluasi. ","")&amp;IF(AND(OR(O13="author_run",O13="author_run+independent",O13="independent_only"),T13=""),"PERIKSA: isi lokasi_bukti. ","")&amp;IF(AND(E13="tidak",O13&lt;&gt;""),"PERIKSA: tanpa teks lengkap, kosongkan kolom evaluasi. ",""))</f>
        <v/>
      </c>
    </row>
    <row r="14" ht="35.05" customHeight="1" s="11">
      <c r="A14" s="15" t="inlineStr">
        <is>
          <t>om-2026-chainwatch-kill-chain-aligned-sequential</t>
        </is>
      </c>
      <c r="B14" s="15" t="inlineStr">
        <is>
          <t>ChainWatch: A Kill Chain-Aligned Sequential Detection Framework for Multi-Step Attacks in MCP-Based AI Agent Systems</t>
        </is>
      </c>
      <c r="C14" s="15" t="n">
        <v>2026</v>
      </c>
      <c r="D14" s="16" t="inlineStr">
        <is>
          <t>https://arxiv.org/abs/2607.19432</t>
        </is>
      </c>
      <c r="E14" s="17" t="inlineStr">
        <is>
          <t>ya</t>
        </is>
      </c>
      <c r="F14" s="17" t="inlineStr">
        <is>
          <t>proposal_only</t>
        </is>
      </c>
      <c r="G14" s="17" t="inlineStr">
        <is>
          <t>ChainWatch</t>
        </is>
      </c>
      <c r="H14" s="17" t="inlineStr">
        <is>
          <t>content_inspection_runtime</t>
        </is>
      </c>
      <c r="I14" s="17" t="inlineStr">
        <is>
          <t>Spesifikasi rancangan deteksi sekuensial yang mengekstrak vektor fitur 20 dimensi dari pemanggilan tool MCP dan menggunakan HMM untuk mengidentifikasi progresi kill-chain multi-langkah.</t>
        </is>
      </c>
      <c r="J14" s="17" t="inlineStr">
        <is>
          <t>tidak</t>
        </is>
      </c>
      <c r="K14" s="17" t="inlineStr">
        <is>
          <t>gateway_proxy</t>
        </is>
      </c>
      <c r="L14" s="17" t="inlineStr">
        <is>
          <t>R3;R6</t>
        </is>
      </c>
      <c r="M14" s="17" t="inlineStr">
        <is>
          <t>D1;D2</t>
        </is>
      </c>
      <c r="N14" s="17" t="n"/>
      <c r="O14" s="17" t="inlineStr">
        <is>
          <t>none</t>
        </is>
      </c>
      <c r="P14" s="17" t="n"/>
      <c r="Q14" s="17" t="inlineStr">
        <is>
          <t>none</t>
        </is>
      </c>
      <c r="R14" s="17" t="inlineStr">
        <is>
          <t>n/a_tanpa_evaluasi</t>
        </is>
      </c>
      <c r="S14" s="17" t="n"/>
      <c r="T14" s="17" t="n"/>
      <c r="U14" s="17" t="inlineStr">
        <is>
          <t>none</t>
        </is>
      </c>
      <c r="V14" s="17" t="n"/>
      <c r="W14" s="17" t="inlineStr">
        <is>
          <t>Spesifikasi rancangan kerangka kerja deteksi sekuensial rantai serangan berbasis HMM tanpa implementasi/evaluasi empiris (proposal_only).</t>
        </is>
      </c>
      <c r="X14" s="18">
        <f>IF(F14="","",IF(OR(F14="attack",F14="survey_review",F14="benchmark_measurement",F14="position_other",F14="not_defense"),"n/a",IF(OR(U14="spec_normatif",U14="produksi_bukti_publik"),"L3",IF(ISNUMBER(SEARCH("independent",O14)),"L2",IF(O14="author_run","L1",IF(O14="none","L0",""))))))</f>
        <v/>
      </c>
      <c r="Y14" s="18">
        <f>IF(F14="","",IF(AND(H14="deterministic_policy",J14="ya"),"PERIKSA: deterministic_policy tetapi LLM/ML ada dalam keputusan. ","")&amp;IF(AND(R14="ya",S14=""),"PERIKSA: adaptif=ya wajib ada kutipan. ","")&amp;IF(AND(O14="none",R14&lt;&gt;"n/a_tanpa_evaluasi",R14&lt;&gt;""),"PERIKSA: tanpa evaluasi, adaptif harus n/a. ","")&amp;IF(AND(OR(O14="author_run",O14="author_run+independent",O14="independent_only"),N14=""),"PERIKSA: isi kelas_dievaluasi. ","")&amp;IF(AND(OR(O14="author_run",O14="author_run+independent",O14="independent_only"),T14=""),"PERIKSA: isi lokasi_bukti. ","")&amp;IF(AND(E14="tidak",O14&lt;&gt;""),"PERIKSA: tanpa teks lengkap, kosongkan kolom evaluasi. ",""))</f>
        <v/>
      </c>
    </row>
    <row r="15" ht="23.85" customHeight="1" s="11">
      <c r="A15" s="15" t="inlineStr">
        <is>
          <t>gamini-2026-mcp-secure-runtime-access-control</t>
        </is>
      </c>
      <c r="B15" s="15" t="inlineStr">
        <is>
          <t>MCP-Secure: A Runtime Access Control Layer for Privilege-Aware LLM Agent Tooling</t>
        </is>
      </c>
      <c r="C15" s="15" t="n">
        <v>2026</v>
      </c>
      <c r="D15" s="16" t="inlineStr">
        <is>
          <t>https://doi.org/10.1109/ojcs.2026.3664314</t>
        </is>
      </c>
      <c r="E15" s="17" t="inlineStr">
        <is>
          <t>tidak</t>
        </is>
      </c>
      <c r="F15" s="17" t="inlineStr">
        <is>
          <t>proposal_only</t>
        </is>
      </c>
      <c r="G15" s="17" t="inlineStr">
        <is>
          <t>MCP-Secure</t>
        </is>
      </c>
      <c r="H15" s="17" t="inlineStr">
        <is>
          <t>content_inspection_runtime</t>
        </is>
      </c>
      <c r="I15" s="17" t="inlineStr">
        <is>
          <t>Lapisan kontrol akses runtime untuk perkakas agen LLM guna membatasi hak akses dan menegakkan otorisasi pemanggilan tool.</t>
        </is>
      </c>
      <c r="J15" s="17" t="inlineStr">
        <is>
          <t>tidak_jelas</t>
        </is>
      </c>
      <c r="K15" s="17" t="inlineStr">
        <is>
          <t>gateway_proxy</t>
        </is>
      </c>
      <c r="L15" s="17" t="inlineStr">
        <is>
          <t>R3;R4</t>
        </is>
      </c>
      <c r="M15" s="17" t="inlineStr">
        <is>
          <t>C1;C2;C5</t>
        </is>
      </c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inlineStr">
        <is>
          <t>Teks lengkap belum diunduh (Open Access di balik proteksi anti-bot tantangan). Ditetapkan sebagai proposal_only dan kolom evaluasi dikosongkan sesuai Aturan 3.</t>
        </is>
      </c>
      <c r="X15" s="18">
        <f>IF(F15="","",IF(OR(F15="attack",F15="survey_review",F15="benchmark_measurement",F15="position_other",F15="not_defense"),"n/a",IF(OR(U15="spec_normatif",U15="produksi_bukti_publik"),"L3",IF(ISNUMBER(SEARCH("independent",O15)),"L2",IF(O15="author_run","L1",IF(O15="none","L0",""))))))</f>
        <v/>
      </c>
      <c r="Y15" s="18">
        <f>IF(F15="","",IF(AND(H15="deterministic_policy",J15="ya"),"PERIKSA: deterministic_policy tetapi LLM/ML ada dalam keputusan. ","")&amp;IF(AND(R15="ya",S15=""),"PERIKSA: adaptif=ya wajib ada kutipan. ","")&amp;IF(AND(O15="none",R15&lt;&gt;"n/a_tanpa_evaluasi",R15&lt;&gt;""),"PERIKSA: tanpa evaluasi, adaptif harus n/a. ","")&amp;IF(AND(OR(O15="author_run",O15="author_run+independent",O15="independent_only"),N15=""),"PERIKSA: isi kelas_dievaluasi. ","")&amp;IF(AND(OR(O15="author_run",O15="author_run+independent",O15="independent_only"),T15=""),"PERIKSA: isi lokasi_bukti. ","")&amp;IF(AND(E15="tidak",O15&lt;&gt;""),"PERIKSA: tanpa teks lengkap, kosongkan kolom evaluasi. ",""))</f>
        <v/>
      </c>
    </row>
    <row r="16" ht="23.85" customHeight="1" s="11">
      <c r="A16" s="15" t="inlineStr">
        <is>
          <t>nisharg-2025-model-context-protocol-mcp-lightweight</t>
        </is>
      </c>
      <c r="B16" s="15" t="inlineStr">
        <is>
          <t>Model Context Protocol (MCP): A Lightweight, Modular Framework for Tool-Augmented LLM Agents</t>
        </is>
      </c>
      <c r="C16" s="15" t="n">
        <v>2025</v>
      </c>
      <c r="D16" s="16" t="inlineStr">
        <is>
          <t>https://doi.org/10.1109/ISED67359.2025.11405153</t>
        </is>
      </c>
      <c r="E16" s="17" t="inlineStr">
        <is>
          <t>tidak</t>
        </is>
      </c>
      <c r="F16" s="17" t="inlineStr">
        <is>
          <t>proposal_only</t>
        </is>
      </c>
      <c r="G16" s="17" t="inlineStr">
        <is>
          <t>unnamed:modular-mcp-framework</t>
        </is>
      </c>
      <c r="H16" s="17" t="inlineStr">
        <is>
          <t>protocol_provision</t>
        </is>
      </c>
      <c r="I16" s="17" t="inlineStr">
        <is>
          <t>Usulan kerangka kerja modular protokol konteks model berbobot ringan untuk manajemen alat dan keamanan interaksi agen LLM.</t>
        </is>
      </c>
      <c r="J16" s="17" t="inlineStr">
        <is>
          <t>tidak_jelas</t>
        </is>
      </c>
      <c r="K16" s="17" t="inlineStr">
        <is>
          <t>gateway_proxy</t>
        </is>
      </c>
      <c r="L16" s="17" t="inlineStr">
        <is>
          <t>R3;R5</t>
        </is>
      </c>
      <c r="M16" s="17" t="inlineStr">
        <is>
          <t>C1;C5</t>
        </is>
      </c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inlineStr">
        <is>
          <t>Teks lengkap paywalled (IEEE ISED 2025). Mengusulkan arsitektur modular kerangka kerja MCP (proposal_only). Kolom evaluasi dikosongkan sesuai Aturan 3.</t>
        </is>
      </c>
      <c r="X16" s="18">
        <f>IF(F16="","",IF(OR(F16="attack",F16="survey_review",F16="benchmark_measurement",F16="position_other",F16="not_defense"),"n/a",IF(OR(U16="spec_normatif",U16="produksi_bukti_publik"),"L3",IF(ISNUMBER(SEARCH("independent",O16)),"L2",IF(O16="author_run","L1",IF(O16="none","L0",""))))))</f>
        <v/>
      </c>
      <c r="Y16" s="18">
        <f>IF(F16="","",IF(AND(H16="deterministic_policy",J16="ya"),"PERIKSA: deterministic_policy tetapi LLM/ML ada dalam keputusan. ","")&amp;IF(AND(R16="ya",S16=""),"PERIKSA: adaptif=ya wajib ada kutipan. ","")&amp;IF(AND(O16="none",R16&lt;&gt;"n/a_tanpa_evaluasi",R16&lt;&gt;""),"PERIKSA: tanpa evaluasi, adaptif harus n/a. ","")&amp;IF(AND(OR(O16="author_run",O16="author_run+independent",O16="independent_only"),N16=""),"PERIKSA: isi kelas_dievaluasi. ","")&amp;IF(AND(OR(O16="author_run",O16="author_run+independent",O16="independent_only"),T16=""),"PERIKSA: isi lokasi_bukti. ","")&amp;IF(AND(E16="tidak",O16&lt;&gt;""),"PERIKSA: tanpa teks lengkap, kosongkan kolom evaluasi. ",""))</f>
        <v/>
      </c>
    </row>
    <row r="17" ht="23.85" customHeight="1" s="11">
      <c r="A17" s="15" t="inlineStr">
        <is>
          <t>ting-2026-tool-connection-execution-control-benchmarking</t>
        </is>
      </c>
      <c r="B17" s="15" t="inlineStr">
        <is>
          <t>From Tool Connection to Execution Control: Benchmarking Security Invariants in MCP-Style Agent Runtimes</t>
        </is>
      </c>
      <c r="C17" s="15" t="n">
        <v>2026</v>
      </c>
      <c r="D17" s="16" t="inlineStr">
        <is>
          <t>https://arxiv.org/abs/2606.29073</t>
        </is>
      </c>
      <c r="E17" s="17" t="inlineStr">
        <is>
          <t>ya</t>
        </is>
      </c>
      <c r="F17" s="17" t="inlineStr">
        <is>
          <t>defense_primary</t>
        </is>
      </c>
      <c r="G17" s="17" t="inlineStr">
        <is>
          <t>HCP</t>
        </is>
      </c>
      <c r="H17" s="17" t="inlineStr">
        <is>
          <t>capability_or_token</t>
        </is>
      </c>
      <c r="I17" s="17" t="inlineStr">
        <is>
          <t>Runtime referensi berbasis kapabilitas terikat grant yang menegakkan 8 invarian keamanan (metadata non-authority, handle resources, data-pipe authorization) di sisi klien tanpa keputusan LLM.</t>
        </is>
      </c>
      <c r="J17" s="17" t="inlineStr">
        <is>
          <t>tidak</t>
        </is>
      </c>
      <c r="K17" s="17" t="inlineStr">
        <is>
          <t>C</t>
        </is>
      </c>
      <c r="L17" s="17" t="inlineStr">
        <is>
          <t>R2;R3;R4;R5</t>
        </is>
      </c>
      <c r="M17" s="17" t="inlineStr">
        <is>
          <t>A1;C1;C2;C3;C5;D1</t>
        </is>
      </c>
      <c r="N17" s="17" t="inlineStr">
        <is>
          <t>A1;C1;C2;C5;D1</t>
        </is>
      </c>
      <c r="O17" s="17" t="inlineStr">
        <is>
          <t>author_run</t>
        </is>
      </c>
      <c r="P17" s="17" t="n"/>
      <c r="Q17" s="17" t="inlineStr">
        <is>
          <t>authors_own</t>
        </is>
      </c>
      <c r="R17" s="17" t="inlineStr">
        <is>
          <t>tidak</t>
        </is>
      </c>
      <c r="S17" s="17" t="n"/>
      <c r="T17" s="17" t="inlineStr">
        <is>
          <t>Sec 7; Table 4; hal. 8-10</t>
        </is>
      </c>
      <c r="U17" s="17" t="inlineStr">
        <is>
          <t>prototype_open_source</t>
        </is>
      </c>
      <c r="V17" s="17" t="inlineStr">
        <is>
          <t>overhead runtime dan kelengkapan bukti audit dilaporkan (Sec 7.1 / Table 4)</t>
        </is>
      </c>
      <c r="W17" s="17" t="inlineStr">
        <is>
          <t>Runtime kontrol eksekusi (HCP) dengan penegakan 8 invarian keamanan deterministik berbasis kapabilitas.</t>
        </is>
      </c>
      <c r="X17" s="18">
        <f>IF(F17="","",IF(OR(F17="attack",F17="survey_review",F17="benchmark_measurement",F17="position_other",F17="not_defense"),"n/a",IF(OR(U17="spec_normatif",U17="produksi_bukti_publik"),"L3",IF(ISNUMBER(SEARCH("independent",O17)),"L2",IF(O17="author_run","L1",IF(O17="none","L0",""))))))</f>
        <v/>
      </c>
      <c r="Y17" s="18">
        <f>IF(F17="","",IF(AND(H17="deterministic_policy",J17="ya"),"PERIKSA: deterministic_policy tetapi LLM/ML ada dalam keputusan. ","")&amp;IF(AND(R17="ya",S17=""),"PERIKSA: adaptif=ya wajib ada kutipan. ","")&amp;IF(AND(O17="none",R17&lt;&gt;"n/a_tanpa_evaluasi",R17&lt;&gt;""),"PERIKSA: tanpa evaluasi, adaptif harus n/a. ","")&amp;IF(AND(OR(O17="author_run",O17="author_run+independent",O17="independent_only"),N17=""),"PERIKSA: isi kelas_dievaluasi. ","")&amp;IF(AND(OR(O17="author_run",O17="author_run+independent",O17="independent_only"),T17=""),"PERIKSA: isi lokasi_bukti. ","")&amp;IF(AND(E17="tidak",O17&lt;&gt;""),"PERIKSA: tanpa teks lengkap, kosongkan kolom evaluasi. ",""))</f>
        <v/>
      </c>
    </row>
    <row r="18" ht="23.85" customHeight="1" s="11">
      <c r="A18" s="15" t="inlineStr">
        <is>
          <t>nvd-2025-vulnerability-disclosure-cve-2025-53109</t>
        </is>
      </c>
      <c r="B18" s="15" t="inlineStr">
        <is>
          <t>Vulnerability Disclosure: CVE-2025-53109</t>
        </is>
      </c>
      <c r="C18" s="15" t="n">
        <v>2025</v>
      </c>
      <c r="D18" s="15" t="n"/>
      <c r="E18" s="17" t="inlineStr">
        <is>
          <t>tidak</t>
        </is>
      </c>
      <c r="F18" s="17" t="inlineStr">
        <is>
          <t>not_defense</t>
        </is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inlineStr">
        <is>
          <t>Catatan pengungkapan kerentanan NVD/CVE (CVE-2025-53109) mengenai bypass symlink pada server filesystem MCP; bukan merupakan makalah penelitian atau mekanisme pertahanan baru.</t>
        </is>
      </c>
      <c r="X18" s="18">
        <f>IF(F18="","",IF(OR(F18="attack",F18="survey_review",F18="benchmark_measurement",F18="position_other",F18="not_defense"),"n/a",IF(OR(U18="spec_normatif",U18="produksi_bukti_publik"),"L3",IF(ISNUMBER(SEARCH("independent",O18)),"L2",IF(O18="author_run","L1",IF(O18="none","L0",""))))))</f>
        <v/>
      </c>
      <c r="Y18" s="18">
        <f>IF(F18="","",IF(AND(H18="deterministic_policy",J18="ya"),"PERIKSA: deterministic_policy tetapi LLM/ML ada dalam keputusan. ","")&amp;IF(AND(R18="ya",S18=""),"PERIKSA: adaptif=ya wajib ada kutipan. ","")&amp;IF(AND(O18="none",R18&lt;&gt;"n/a_tanpa_evaluasi",R18&lt;&gt;""),"PERIKSA: tanpa evaluasi, adaptif harus n/a. ","")&amp;IF(AND(OR(O18="author_run",O18="author_run+independent",O18="independent_only"),N18=""),"PERIKSA: isi kelas_dievaluasi. ","")&amp;IF(AND(OR(O18="author_run",O18="author_run+independent",O18="independent_only"),T18=""),"PERIKSA: isi lokasi_bukti. ","")&amp;IF(AND(E18="tidak",O18&lt;&gt;""),"PERIKSA: tanpa teks lengkap, kosongkan kolom evaluasi. ",""))</f>
        <v/>
      </c>
    </row>
    <row r="19" ht="23.85" customHeight="1" s="11">
      <c r="A19" s="15" t="inlineStr">
        <is>
          <t>yuval-2026-tool-orchestration-code-execution-study</t>
        </is>
      </c>
      <c r="B19" s="15" t="inlineStr">
        <is>
          <t>From Tool Orchestration to Code Execution: A Study of MCP Design Choices</t>
        </is>
      </c>
      <c r="C19" s="15" t="n">
        <v>2026</v>
      </c>
      <c r="D19" s="16" t="inlineStr">
        <is>
          <t>https://arxiv.org/abs/2602.15945</t>
        </is>
      </c>
      <c r="E19" s="17" t="inlineStr">
        <is>
          <t>ya</t>
        </is>
      </c>
      <c r="F19" s="17" t="inlineStr">
        <is>
          <t>defense_secondary</t>
        </is>
      </c>
      <c r="G19" s="17" t="inlineStr">
        <is>
          <t>CE-MCP Layered Sandbox</t>
        </is>
      </c>
      <c r="H19" s="17" t="inlineStr">
        <is>
          <t>isolation_containment</t>
        </is>
      </c>
      <c r="I19" s="17" t="inlineStr">
        <is>
          <t>Mendelegasikan orkestrasi pemanggilan tool ke dalam lingkungan runtime sandbox program terisolasi (CE-MCP) untuk mengurung dampak eksekusi kode dan injeksi tidak langsung.</t>
        </is>
      </c>
      <c r="J19" s="17" t="inlineStr">
        <is>
          <t>tidak</t>
        </is>
      </c>
      <c r="K19" s="17" t="inlineStr">
        <is>
          <t>X</t>
        </is>
      </c>
      <c r="L19" s="17" t="inlineStr">
        <is>
          <t>R2;R5</t>
        </is>
      </c>
      <c r="M19" s="17" t="inlineStr">
        <is>
          <t>A2;C5;D1</t>
        </is>
      </c>
      <c r="N19" s="17" t="inlineStr">
        <is>
          <t>A2;C5</t>
        </is>
      </c>
      <c r="O19" s="17" t="inlineStr">
        <is>
          <t>author_run</t>
        </is>
      </c>
      <c r="P19" s="17" t="n"/>
      <c r="Q19" s="17" t="inlineStr">
        <is>
          <t>mixed</t>
        </is>
      </c>
      <c r="R19" s="17" t="inlineStr">
        <is>
          <t>tidak</t>
        </is>
      </c>
      <c r="S19" s="17" t="n"/>
      <c r="T19" s="17" t="inlineStr">
        <is>
          <t>Sec 6.3; Sec 7; Table 2; hal. 9-11</t>
        </is>
      </c>
      <c r="U19" s="17" t="inlineStr">
        <is>
          <t>prototype_open_source</t>
        </is>
      </c>
      <c r="V19" s="17" t="inlineStr">
        <is>
          <t>penghematan token dan waktu eksekusi runtime sandbox (Fig 4 / Sec 6)</t>
        </is>
      </c>
      <c r="W19" s="17" t="inlineStr">
        <is>
          <t>Studi perbandingan arsitektur orkestrasi tool berbasis eksekusi kode sandbox (CE-MCP) vs MCP tradisional dengan evaluasi serangan adversarial sekunder.</t>
        </is>
      </c>
      <c r="X19" s="18">
        <f>IF(F19="","",IF(OR(F19="attack",F19="survey_review",F19="benchmark_measurement",F19="position_other",F19="not_defense"),"n/a",IF(OR(U19="spec_normatif",U19="produksi_bukti_publik"),"L3",IF(ISNUMBER(SEARCH("independent",O19)),"L2",IF(O19="author_run","L1",IF(O19="none","L0",""))))))</f>
        <v/>
      </c>
      <c r="Y19" s="18">
        <f>IF(F19="","",IF(AND(H19="deterministic_policy",J19="ya"),"PERIKSA: deterministic_policy tetapi LLM/ML ada dalam keputusan. ","")&amp;IF(AND(R19="ya",S19=""),"PERIKSA: adaptif=ya wajib ada kutipan. ","")&amp;IF(AND(O19="none",R19&lt;&gt;"n/a_tanpa_evaluasi",R19&lt;&gt;""),"PERIKSA: tanpa evaluasi, adaptif harus n/a. ","")&amp;IF(AND(OR(O19="author_run",O19="author_run+independent",O19="independent_only"),N19=""),"PERIKSA: isi kelas_dievaluasi. ","")&amp;IF(AND(OR(O19="author_run",O19="author_run+independent",O19="independent_only"),T19=""),"PERIKSA: isi lokasi_bukti. ","")&amp;IF(AND(E19="tidak",O19&lt;&gt;""),"PERIKSA: tanpa teks lengkap, kosongkan kolom evaluasi. ",""))</f>
        <v/>
      </c>
    </row>
    <row r="20" ht="23.85" customHeight="1" s="11">
      <c r="A20" s="15" t="inlineStr">
        <is>
          <t>shi-2026-when-manual-lies-realistic-benchmark</t>
        </is>
      </c>
      <c r="B20" s="15" t="inlineStr">
        <is>
          <t>When the Manual Lies: A Realistic Benchmark to Evaluate MCP Poisoning Attacks for LLM Agents</t>
        </is>
      </c>
      <c r="C20" s="15" t="n">
        <v>2026</v>
      </c>
      <c r="D20" s="16" t="inlineStr">
        <is>
          <t>https://arxiv.org/abs/2605.24069</t>
        </is>
      </c>
      <c r="E20" s="17" t="inlineStr">
        <is>
          <t>ya</t>
        </is>
      </c>
      <c r="F20" s="17" t="inlineStr">
        <is>
          <t>benchmark_measurement</t>
        </is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inlineStr">
        <is>
          <t>Benchmark keamanan berorientasi Docker (MCP-TDP) untuk mengevaluasi serangan keracunan deskripsi alat/TDP pada agen LLM tanpa mekanisme pertahanan yang diimplementasikan.</t>
        </is>
      </c>
      <c r="X20" s="18">
        <f>IF(F20="","",IF(OR(F20="attack",F20="survey_review",F20="benchmark_measurement",F20="position_other",F20="not_defense"),"n/a",IF(OR(U20="spec_normatif",U20="produksi_bukti_publik"),"L3",IF(ISNUMBER(SEARCH("independent",O20)),"L2",IF(O20="author_run","L1",IF(O20="none","L0",""))))))</f>
        <v/>
      </c>
      <c r="Y20" s="18">
        <f>IF(F20="","",IF(AND(H20="deterministic_policy",J20="ya"),"PERIKSA: deterministic_policy tetapi LLM/ML ada dalam keputusan. ","")&amp;IF(AND(R20="ya",S20=""),"PERIKSA: adaptif=ya wajib ada kutipan. ","")&amp;IF(AND(O20="none",R20&lt;&gt;"n/a_tanpa_evaluasi",R20&lt;&gt;""),"PERIKSA: tanpa evaluasi, adaptif harus n/a. ","")&amp;IF(AND(OR(O20="author_run",O20="author_run+independent",O20="independent_only"),N20=""),"PERIKSA: isi kelas_dievaluasi. ","")&amp;IF(AND(OR(O20="author_run",O20="author_run+independent",O20="independent_only"),T20=""),"PERIKSA: isi lokasi_bukti. ","")&amp;IF(AND(E20="tidak",O20&lt;&gt;""),"PERIKSA: tanpa teks lengkap, kosongkan kolom evaluasi. ",""))</f>
        <v/>
      </c>
    </row>
    <row r="21" ht="23.85" customHeight="1" s="11">
      <c r="A21" s="15" t="inlineStr">
        <is>
          <t>herman-2025-securing-model-context-protocol-mcp</t>
        </is>
      </c>
      <c r="B21" s="15" t="inlineStr">
        <is>
          <t>Securing the Model Context Protocol (MCP): Risks, Controls, and Governance</t>
        </is>
      </c>
      <c r="C21" s="15" t="n">
        <v>2025</v>
      </c>
      <c r="D21" s="16" t="inlineStr">
        <is>
          <t>https://arxiv.org/abs/2511.20920</t>
        </is>
      </c>
      <c r="E21" s="17" t="inlineStr">
        <is>
          <t>ya</t>
        </is>
      </c>
      <c r="F21" s="17" t="inlineStr">
        <is>
          <t>proposal_only</t>
        </is>
      </c>
      <c r="G21" s="17" t="inlineStr">
        <is>
          <t>unnamed:mcp-governance-controls</t>
        </is>
      </c>
      <c r="H21" s="17" t="inlineStr">
        <is>
          <t>deterministic_policy</t>
        </is>
      </c>
      <c r="I21" s="17" t="inlineStr">
        <is>
          <t>Mengusulkan rangkaian kontrol keamanan terpadu mencakup otentikasi per-pengguna, pelacakan asal-usul, sandboxing kontainer, dan penegakan kebijakan sebaris pada gateway/registri MCP.</t>
        </is>
      </c>
      <c r="J21" s="17" t="inlineStr">
        <is>
          <t>tidak</t>
        </is>
      </c>
      <c r="K21" s="17" t="inlineStr">
        <is>
          <t>gateway_proxy</t>
        </is>
      </c>
      <c r="L21" s="17" t="inlineStr">
        <is>
          <t>R3;R4;R5</t>
        </is>
      </c>
      <c r="M21" s="17" t="inlineStr">
        <is>
          <t>A2;C1;C3;C5;D1</t>
        </is>
      </c>
      <c r="N21" s="17" t="n"/>
      <c r="O21" s="17" t="inlineStr">
        <is>
          <t>none</t>
        </is>
      </c>
      <c r="P21" s="17" t="n"/>
      <c r="Q21" s="17" t="inlineStr">
        <is>
          <t>none</t>
        </is>
      </c>
      <c r="R21" s="17" t="inlineStr">
        <is>
          <t>n/a_tanpa_evaluasi</t>
        </is>
      </c>
      <c r="S21" s="17" t="n"/>
      <c r="T21" s="17" t="n"/>
      <c r="U21" s="17" t="inlineStr">
        <is>
          <t>none</t>
        </is>
      </c>
      <c r="V21" s="17" t="n"/>
      <c r="W21" s="17" t="inlineStr">
        <is>
          <t>Makalah usulan kontrol keamanan komprehensif (arsitektur kontrol, tata kelola, sandboxing) tanpa evaluasi eksperimental empiris (proposal_only).</t>
        </is>
      </c>
      <c r="X21" s="18">
        <f>IF(F21="","",IF(OR(F21="attack",F21="survey_review",F21="benchmark_measurement",F21="position_other",F21="not_defense"),"n/a",IF(OR(U21="spec_normatif",U21="produksi_bukti_publik"),"L3",IF(ISNUMBER(SEARCH("independent",O21)),"L2",IF(O21="author_run","L1",IF(O21="none","L0",""))))))</f>
        <v/>
      </c>
      <c r="Y21" s="18">
        <f>IF(F21="","",IF(AND(H21="deterministic_policy",J21="ya"),"PERIKSA: deterministic_policy tetapi LLM/ML ada dalam keputusan. ","")&amp;IF(AND(R21="ya",S21=""),"PERIKSA: adaptif=ya wajib ada kutipan. ","")&amp;IF(AND(O21="none",R21&lt;&gt;"n/a_tanpa_evaluasi",R21&lt;&gt;""),"PERIKSA: tanpa evaluasi, adaptif harus n/a. ","")&amp;IF(AND(OR(O21="author_run",O21="author_run+independent",O21="independent_only"),N21=""),"PERIKSA: isi kelas_dievaluasi. ","")&amp;IF(AND(OR(O21="author_run",O21="author_run+independent",O21="independent_only"),T21=""),"PERIKSA: isi lokasi_bukti. ","")&amp;IF(AND(E21="tidak",O21&lt;&gt;""),"PERIKSA: tanpa teks lengkap, kosongkan kolom evaluasi. ",""))</f>
        <v/>
      </c>
    </row>
    <row r="22" ht="23.85" customHeight="1" s="11">
      <c r="A22" s="15" t="inlineStr">
        <is>
          <t>nicola-2025-trivial-trojans-how-minimal-mcp</t>
        </is>
      </c>
      <c r="B22" s="15" t="inlineStr">
        <is>
          <t>Trivial Trojans: How Minimal MCP Servers Enable Cross-Tool Exfiltration of Sensitive Data</t>
        </is>
      </c>
      <c r="C22" s="15" t="n">
        <v>2025</v>
      </c>
      <c r="D22" s="16" t="inlineStr">
        <is>
          <t>https://arxiv.org/abs/2507.19880</t>
        </is>
      </c>
      <c r="E22" s="17" t="inlineStr">
        <is>
          <t>ya</t>
        </is>
      </c>
      <c r="F22" s="17" t="inlineStr">
        <is>
          <t>attack</t>
        </is>
      </c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inlineStr">
        <is>
          <t>Paper serangan proof-of-concept eksfiltrasi data sensitif lintas-server (Trivial Trojans) melalui server cuaca manipulatif tanpa implementasi atau evaluasi mekanisme mitigasi.</t>
        </is>
      </c>
      <c r="X22" s="18">
        <f>IF(F22="","",IF(OR(F22="attack",F22="survey_review",F22="benchmark_measurement",F22="position_other",F22="not_defense"),"n/a",IF(OR(U22="spec_normatif",U22="produksi_bukti_publik"),"L3",IF(ISNUMBER(SEARCH("independent",O22)),"L2",IF(O22="author_run","L1",IF(O22="none","L0",""))))))</f>
        <v/>
      </c>
      <c r="Y22" s="18">
        <f>IF(F22="","",IF(AND(H22="deterministic_policy",J22="ya"),"PERIKSA: deterministic_policy tetapi LLM/ML ada dalam keputusan. ","")&amp;IF(AND(R22="ya",S22=""),"PERIKSA: adaptif=ya wajib ada kutipan. ","")&amp;IF(AND(O22="none",R22&lt;&gt;"n/a_tanpa_evaluasi",R22&lt;&gt;""),"PERIKSA: tanpa evaluasi, adaptif harus n/a. ","")&amp;IF(AND(OR(O22="author_run",O22="author_run+independent",O22="independent_only"),N22=""),"PERIKSA: isi kelas_dievaluasi. ","")&amp;IF(AND(OR(O22="author_run",O22="author_run+independent",O22="independent_only"),T22=""),"PERIKSA: isi lokasi_bukti. ","")&amp;IF(AND(E22="tidak",O22&lt;&gt;""),"PERIKSA: tanpa teks lengkap, kosongkan kolom evaluasi. ",""))</f>
        <v/>
      </c>
    </row>
    <row r="23" ht="23.85" customHeight="1" s="11">
      <c r="A23" s="15" t="inlineStr">
        <is>
          <t>shuli-2025-parasites-toolchain-large-scale-analysis</t>
        </is>
      </c>
      <c r="B23" s="15" t="inlineStr">
        <is>
          <t>Parasites in the Toolchain: A Large-Scale Analysis of Attacks on the MCP Ecosystem</t>
        </is>
      </c>
      <c r="C23" s="15" t="n">
        <v>2025</v>
      </c>
      <c r="D23" s="16" t="inlineStr">
        <is>
          <t>https://arxiv.org/abs/2509.06572</t>
        </is>
      </c>
      <c r="E23" s="17" t="inlineStr">
        <is>
          <t>ya</t>
        </is>
      </c>
      <c r="F23" s="17" t="inlineStr">
        <is>
          <t>attack</t>
        </is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inlineStr">
        <is>
          <t>Paper serangan parasitik rantai alat (MCP-UPD / Parasitic Toolchain Attacks) dan sensus ekosistem MCP-SEC; diskusi pertahanan pada Bab 6.3 bersifat konseptual tanpa implementasi/evaluasi eksperimental.</t>
        </is>
      </c>
      <c r="X23" s="18">
        <f>IF(F23="","",IF(OR(F23="attack",F23="survey_review",F23="benchmark_measurement",F23="position_other",F23="not_defense"),"n/a",IF(OR(U23="spec_normatif",U23="produksi_bukti_publik"),"L3",IF(ISNUMBER(SEARCH("independent",O23)),"L2",IF(O23="author_run","L1",IF(O23="none","L0",""))))))</f>
        <v/>
      </c>
      <c r="Y23" s="18">
        <f>IF(F23="","",IF(AND(H23="deterministic_policy",J23="ya"),"PERIKSA: deterministic_policy tetapi LLM/ML ada dalam keputusan. ","")&amp;IF(AND(R23="ya",S23=""),"PERIKSA: adaptif=ya wajib ada kutipan. ","")&amp;IF(AND(O23="none",R23&lt;&gt;"n/a_tanpa_evaluasi",R23&lt;&gt;""),"PERIKSA: tanpa evaluasi, adaptif harus n/a. ","")&amp;IF(AND(OR(O23="author_run",O23="author_run+independent",O23="independent_only"),N23=""),"PERIKSA: isi kelas_dievaluasi. ","")&amp;IF(AND(OR(O23="author_run",O23="author_run+independent",O23="independent_only"),T23=""),"PERIKSA: isi lokasi_bukti. ","")&amp;IF(AND(E23="tidak",O23&lt;&gt;""),"PERIKSA: tanpa teks lengkap, kosongkan kolom evaluasi. ",""))</f>
        <v/>
      </c>
    </row>
    <row r="24" ht="35.05" customHeight="1" s="11">
      <c r="A24" s="15" t="inlineStr">
        <is>
          <t>manish-2026-model-context-protocol-security-landscape</t>
        </is>
      </c>
      <c r="B24" s="15" t="inlineStr">
        <is>
          <t>The Model Context Protocol Security Landscape: A Systematic Analysis of Inherent Vulnerabilities and Defensive Inadequacies</t>
        </is>
      </c>
      <c r="C24" s="15" t="n">
        <v>2026</v>
      </c>
      <c r="D24" s="16" t="inlineStr">
        <is>
          <t>https://doi.org/10.1007/978-3-032-31998-2_13</t>
        </is>
      </c>
      <c r="E24" s="17" t="inlineStr">
        <is>
          <t>tidak</t>
        </is>
      </c>
      <c r="F24" s="17" t="inlineStr">
        <is>
          <t>survey_review</t>
        </is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inlineStr">
        <is>
          <t>Teks lengkap paywalled (Springer LNNS 2026). Survei dan analisis sistematis lanskap kerentanan inheren MCP serta ketidakcukupan mekanisme pertahanan yang ada.</t>
        </is>
      </c>
      <c r="X24" s="18">
        <f>IF(F24="","",IF(OR(F24="attack",F24="survey_review",F24="benchmark_measurement",F24="position_other",F24="not_defense"),"n/a",IF(OR(U24="spec_normatif",U24="produksi_bukti_publik"),"L3",IF(ISNUMBER(SEARCH("independent",O24)),"L2",IF(O24="author_run","L1",IF(O24="none","L0",""))))))</f>
        <v/>
      </c>
      <c r="Y24" s="18">
        <f>IF(F24="","",IF(AND(H24="deterministic_policy",J24="ya"),"PERIKSA: deterministic_policy tetapi LLM/ML ada dalam keputusan. ","")&amp;IF(AND(R24="ya",S24=""),"PERIKSA: adaptif=ya wajib ada kutipan. ","")&amp;IF(AND(O24="none",R24&lt;&gt;"n/a_tanpa_evaluasi",R24&lt;&gt;""),"PERIKSA: tanpa evaluasi, adaptif harus n/a. ","")&amp;IF(AND(OR(O24="author_run",O24="author_run+independent",O24="independent_only"),N24=""),"PERIKSA: isi kelas_dievaluasi. ","")&amp;IF(AND(OR(O24="author_run",O24="author_run+independent",O24="independent_only"),T24=""),"PERIKSA: isi lokasi_bukti. ","")&amp;IF(AND(E24="tidak",O24&lt;&gt;""),"PERIKSA: tanpa teks lengkap, kosongkan kolom evaluasi. ",""))</f>
        <v/>
      </c>
    </row>
    <row r="25" ht="23.85" customHeight="1" s="11">
      <c r="A25" s="15" t="inlineStr">
        <is>
          <t>pratyay-2026-mcp-sos-risk-assessment-framework</t>
        </is>
      </c>
      <c r="B25" s="15" t="inlineStr">
        <is>
          <t>MCP-in-SoS: Risk assessment framework for open-source MCP servers</t>
        </is>
      </c>
      <c r="C25" s="15" t="n">
        <v>2026</v>
      </c>
      <c r="D25" s="16" t="inlineStr">
        <is>
          <t>https://arxiv.org/abs/2603.10194</t>
        </is>
      </c>
      <c r="E25" s="17" t="inlineStr">
        <is>
          <t>ya</t>
        </is>
      </c>
      <c r="F25" s="17" t="inlineStr">
        <is>
          <t>position_other</t>
        </is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inlineStr">
        <is>
          <t>Kerangka kerja penilaian risiko berbasis skor multi-metrik (CWE/CAPEC) untuk server MCP sumber terbuka tanpa mekanisme penegakan pertahanan runtime/statis.</t>
        </is>
      </c>
      <c r="X25" s="18">
        <f>IF(F25="","",IF(OR(F25="attack",F25="survey_review",F25="benchmark_measurement",F25="position_other",F25="not_defense"),"n/a",IF(OR(U25="spec_normatif",U25="produksi_bukti_publik"),"L3",IF(ISNUMBER(SEARCH("independent",O25)),"L2",IF(O25="author_run","L1",IF(O25="none","L0",""))))))</f>
        <v/>
      </c>
      <c r="Y25" s="18">
        <f>IF(F25="","",IF(AND(H25="deterministic_policy",J25="ya"),"PERIKSA: deterministic_policy tetapi LLM/ML ada dalam keputusan. ","")&amp;IF(AND(R25="ya",S25=""),"PERIKSA: adaptif=ya wajib ada kutipan. ","")&amp;IF(AND(O25="none",R25&lt;&gt;"n/a_tanpa_evaluasi",R25&lt;&gt;""),"PERIKSA: tanpa evaluasi, adaptif harus n/a. ","")&amp;IF(AND(OR(O25="author_run",O25="author_run+independent",O25="independent_only"),N25=""),"PERIKSA: isi kelas_dievaluasi. ","")&amp;IF(AND(OR(O25="author_run",O25="author_run+independent",O25="independent_only"),T25=""),"PERIKSA: isi lokasi_bukti. ","")&amp;IF(AND(E25="tidak",O25&lt;&gt;""),"PERIKSA: tanpa teks lengkap, kosongkan kolom evaluasi. ",""))</f>
        <v/>
      </c>
    </row>
    <row r="26" ht="23.85" customHeight="1" s="11">
      <c r="A26" s="15" t="inlineStr">
        <is>
          <t>ruiqi-2026-mcp-itp-automated-framework-implicit</t>
        </is>
      </c>
      <c r="B26" s="15" t="inlineStr">
        <is>
          <t>MCP-ITP: An Automated Framework for Implicit Tool Poisoning in MCP</t>
        </is>
      </c>
      <c r="C26" s="15" t="n">
        <v>2026</v>
      </c>
      <c r="D26" s="16" t="inlineStr">
        <is>
          <t>https://arxiv.org/abs/2601.07395</t>
        </is>
      </c>
      <c r="E26" s="17" t="inlineStr">
        <is>
          <t>ya</t>
        </is>
      </c>
      <c r="F26" s="17" t="inlineStr">
        <is>
          <t>attack</t>
        </is>
      </c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inlineStr">
        <is>
          <t>Paper serangan otomatis keracunan alat implisit (MCP-ITP) yang mengoptimasi generasi payload berbasis umpan balik detektor untuk memaksimalkan tingkat keberhasilan serangan (ASR).</t>
        </is>
      </c>
      <c r="X26" s="18">
        <f>IF(F26="","",IF(OR(F26="attack",F26="survey_review",F26="benchmark_measurement",F26="position_other",F26="not_defense"),"n/a",IF(OR(U26="spec_normatif",U26="produksi_bukti_publik"),"L3",IF(ISNUMBER(SEARCH("independent",O26)),"L2",IF(O26="author_run","L1",IF(O26="none","L0",""))))))</f>
        <v/>
      </c>
      <c r="Y26" s="18">
        <f>IF(F26="","",IF(AND(H26="deterministic_policy",J26="ya"),"PERIKSA: deterministic_policy tetapi LLM/ML ada dalam keputusan. ","")&amp;IF(AND(R26="ya",S26=""),"PERIKSA: adaptif=ya wajib ada kutipan. ","")&amp;IF(AND(O26="none",R26&lt;&gt;"n/a_tanpa_evaluasi",R26&lt;&gt;""),"PERIKSA: tanpa evaluasi, adaptif harus n/a. ","")&amp;IF(AND(OR(O26="author_run",O26="author_run+independent",O26="independent_only"),N26=""),"PERIKSA: isi kelas_dievaluasi. ","")&amp;IF(AND(OR(O26="author_run",O26="author_run+independent",O26="independent_only"),T26=""),"PERIKSA: isi lokasi_bukti. ","")&amp;IF(AND(E26="tidak",O26&lt;&gt;""),"PERIKSA: tanpa teks lengkap, kosongkan kolom evaluasi. ",""))</f>
        <v/>
      </c>
    </row>
    <row r="27" ht="23.85" customHeight="1" s="11">
      <c r="A27" s="15" t="inlineStr">
        <is>
          <t>zhiyang-2026-acle-mcp-attested-capability-leases</t>
        </is>
      </c>
      <c r="B27" s="15" t="inlineStr">
        <is>
          <t>ACLE-MCP: Attested Capability Leases for Execution-Time Trust in Remote LLM Tool Use</t>
        </is>
      </c>
      <c r="C27" s="15" t="n">
        <v>2026</v>
      </c>
      <c r="D27" s="16" t="inlineStr">
        <is>
          <t>https://arxiv.org/abs/2609.02690</t>
        </is>
      </c>
      <c r="E27" s="17" t="inlineStr">
        <is>
          <t>ya</t>
        </is>
      </c>
      <c r="F27" s="17" t="inlineStr">
        <is>
          <t>defense_primary</t>
        </is>
      </c>
      <c r="G27" s="17" t="inlineStr">
        <is>
          <t>ACLE-MCP</t>
        </is>
      </c>
      <c r="H27" s="17" t="inlineStr">
        <is>
          <t>capability_or_token</t>
        </is>
      </c>
      <c r="I27" s="17" t="inlineStr">
        <is>
          <t>Menerbitkan sewa kapabilitas (capability lease) berjangka pendek yang mengikat otorisasi OAuth terdelegasi dengan atestasi status beban kerja penyedia sebelum gerbang eksekusi sisi server menjalankan tool.</t>
        </is>
      </c>
      <c r="J27" s="17" t="inlineStr">
        <is>
          <t>tidak</t>
        </is>
      </c>
      <c r="K27" s="17" t="inlineStr">
        <is>
          <t>Theta</t>
        </is>
      </c>
      <c r="L27" s="17" t="inlineStr">
        <is>
          <t>R4;R5</t>
        </is>
      </c>
      <c r="M27" s="17" t="inlineStr">
        <is>
          <t>C1;C2;C3</t>
        </is>
      </c>
      <c r="N27" s="17" t="inlineStr">
        <is>
          <t>C1;C2;C3</t>
        </is>
      </c>
      <c r="O27" s="17" t="inlineStr">
        <is>
          <t>author_run</t>
        </is>
      </c>
      <c r="P27" s="17" t="n"/>
      <c r="Q27" s="17" t="inlineStr">
        <is>
          <t>authors_own</t>
        </is>
      </c>
      <c r="R27" s="17" t="inlineStr">
        <is>
          <t>tidak</t>
        </is>
      </c>
      <c r="S27" s="17" t="n"/>
      <c r="T27" s="17" t="inlineStr">
        <is>
          <t>Sec 5; Table 2; Table 3; hal. 6-9</t>
        </is>
      </c>
      <c r="U27" s="17" t="inlineStr">
        <is>
          <t>prototype_open_source</t>
        </is>
      </c>
      <c r="V27" s="17" t="inlineStr">
        <is>
          <t>overhead latensi dan biaya integrasi dilaporkan (RQ3 / Table 3 / hal. 8-9)</t>
        </is>
      </c>
      <c r="W27" s="17" t="inlineStr">
        <is>
          <t>Arsitektur sewa kapabilitas teratestasi (ACLE-MCP) untuk otorisasi runtime dan pengikatan beban kerja eksekusi tool remote.</t>
        </is>
      </c>
      <c r="X27" s="18">
        <f>IF(F27="","",IF(OR(F27="attack",F27="survey_review",F27="benchmark_measurement",F27="position_other",F27="not_defense"),"n/a",IF(OR(U27="spec_normatif",U27="produksi_bukti_publik"),"L3",IF(ISNUMBER(SEARCH("independent",O27)),"L2",IF(O27="author_run","L1",IF(O27="none","L0",""))))))</f>
        <v/>
      </c>
      <c r="Y27" s="18">
        <f>IF(F27="","",IF(AND(H27="deterministic_policy",J27="ya"),"PERIKSA: deterministic_policy tetapi LLM/ML ada dalam keputusan. ","")&amp;IF(AND(R27="ya",S27=""),"PERIKSA: adaptif=ya wajib ada kutipan. ","")&amp;IF(AND(O27="none",R27&lt;&gt;"n/a_tanpa_evaluasi",R27&lt;&gt;""),"PERIKSA: tanpa evaluasi, adaptif harus n/a. ","")&amp;IF(AND(OR(O27="author_run",O27="author_run+independent",O27="independent_only"),N27=""),"PERIKSA: isi kelas_dievaluasi. ","")&amp;IF(AND(OR(O27="author_run",O27="author_run+independent",O27="independent_only"),T27=""),"PERIKSA: isi lokasi_bukti. ","")&amp;IF(AND(E27="tidak",O27&lt;&gt;""),"PERIKSA: tanpa teks lengkap, kosongkan kolom evaluasi. ",""))</f>
        <v/>
      </c>
    </row>
    <row r="28" ht="35.05" customHeight="1" s="11">
      <c r="A28" s="15" t="inlineStr">
        <is>
          <t>n-2025-breaking-protocol-security-analysis-model</t>
        </is>
      </c>
      <c r="B28" s="15" t="inlineStr">
        <is>
          <t>Breaking the Protocol: Security Analysis of the Model Context Protocol Specification and Prompt Injection Vulnerabilities in Tool-Integrated LLM Agents</t>
        </is>
      </c>
      <c r="C28" s="15" t="n">
        <v>2025</v>
      </c>
      <c r="D28" s="16" t="inlineStr">
        <is>
          <t>https://doi.org/10.25559/sitito.021.202503.420-428</t>
        </is>
      </c>
      <c r="E28" s="17" t="inlineStr">
        <is>
          <t>ya</t>
        </is>
      </c>
      <c r="F28" s="17" t="inlineStr">
        <is>
          <t>defense_secondary</t>
        </is>
      </c>
      <c r="G28" s="17" t="inlineStr">
        <is>
          <t>ATTESTMCP</t>
        </is>
      </c>
      <c r="H28" s="17" t="inlineStr">
        <is>
          <t>integrity_provenance</t>
        </is>
      </c>
      <c r="I28" s="17" t="inlineStr">
        <is>
          <t>Ekstensi protokol kompatibel mundur yang menambahkan atestasi kapabilitas berbasis tanda tangan kriptografis dan autentikasi pesan untuk mencegah injeksi prompt sampling dan klaim izin sewenang-wenang.</t>
        </is>
      </c>
      <c r="J28" s="17" t="inlineStr">
        <is>
          <t>tidak</t>
        </is>
      </c>
      <c r="K28" s="17" t="inlineStr">
        <is>
          <t>C</t>
        </is>
      </c>
      <c r="L28" s="17" t="inlineStr">
        <is>
          <t>R2;R4</t>
        </is>
      </c>
      <c r="M28" s="17" t="inlineStr">
        <is>
          <t>A1;A2;C3</t>
        </is>
      </c>
      <c r="N28" s="17" t="inlineStr">
        <is>
          <t>A1;A2;C3</t>
        </is>
      </c>
      <c r="O28" s="17" t="inlineStr">
        <is>
          <t>author_run</t>
        </is>
      </c>
      <c r="P28" s="17" t="n"/>
      <c r="Q28" s="17" t="inlineStr">
        <is>
          <t>authors_own</t>
        </is>
      </c>
      <c r="R28" s="17" t="inlineStr">
        <is>
          <t>tidak</t>
        </is>
      </c>
      <c r="S28" s="17" t="n"/>
      <c r="T28" s="17" t="inlineStr">
        <is>
          <t>Sec V; Table 2; hal. 6-7</t>
        </is>
      </c>
      <c r="U28" s="17" t="inlineStr">
        <is>
          <t>prototype_open_source</t>
        </is>
      </c>
      <c r="V28" s="17" t="inlineStr">
        <is>
          <t>overhead latensi median 8.3 ms per pesan (Abstract / Sec V)</t>
        </is>
      </c>
      <c r="W28" s="17" t="inlineStr">
        <is>
          <t>Analisis keamanan arsitektur protokol MCP dengan mitigasi sekunder ekstensi protokol teratestasi (ATTESTMCP) yang menurunkan ASR dari 52.8% ke 12.4%.</t>
        </is>
      </c>
      <c r="X28" s="18">
        <f>IF(F28="","",IF(OR(F28="attack",F28="survey_review",F28="benchmark_measurement",F28="position_other",F28="not_defense"),"n/a",IF(OR(U28="spec_normatif",U28="produksi_bukti_publik"),"L3",IF(ISNUMBER(SEARCH("independent",O28)),"L2",IF(O28="author_run","L1",IF(O28="none","L0",""))))))</f>
        <v/>
      </c>
      <c r="Y28" s="18">
        <f>IF(F28="","",IF(AND(H28="deterministic_policy",J28="ya"),"PERIKSA: deterministic_policy tetapi LLM/ML ada dalam keputusan. ","")&amp;IF(AND(R28="ya",S28=""),"PERIKSA: adaptif=ya wajib ada kutipan. ","")&amp;IF(AND(O28="none",R28&lt;&gt;"n/a_tanpa_evaluasi",R28&lt;&gt;""),"PERIKSA: tanpa evaluasi, adaptif harus n/a. ","")&amp;IF(AND(OR(O28="author_run",O28="author_run+independent",O28="independent_only"),N28=""),"PERIKSA: isi kelas_dievaluasi. ","")&amp;IF(AND(OR(O28="author_run",O28="author_run+independent",O28="independent_only"),T28=""),"PERIKSA: isi lokasi_bukti. ","")&amp;IF(AND(E28="tidak",O28&lt;&gt;""),"PERIKSA: tanpa teks lengkap, kosongkan kolom evaluasi. ",""))</f>
        <v/>
      </c>
    </row>
    <row r="29" ht="23.85" customHeight="1" s="11">
      <c r="A29" s="15" t="inlineStr">
        <is>
          <t>jiayi-2025-llm-infer-risk-information-mcp</t>
        </is>
      </c>
      <c r="B29" s="15" t="inlineStr">
        <is>
          <t>Can LLM Infer Risk Information From MCP Server System Logs?</t>
        </is>
      </c>
      <c r="C29" s="15" t="n">
        <v>2025</v>
      </c>
      <c r="D29" s="16" t="inlineStr">
        <is>
          <t>https://arxiv.org/abs/2511.05867</t>
        </is>
      </c>
      <c r="E29" s="17" t="inlineStr">
        <is>
          <t>ya</t>
        </is>
      </c>
      <c r="F29" s="17" t="inlineStr">
        <is>
          <t>benchmark_measurement</t>
        </is>
      </c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inlineStr">
        <is>
          <t>Tolok ukur (benchmark) sintetis MCP-RiskCue untuk mengevaluasi kemampuan LLM mengidentifikasi 9 kategori risiko dari log sistem server MCP tanpa mekanisme pertahanan yang diimplementasikan.</t>
        </is>
      </c>
      <c r="X29" s="18">
        <f>IF(F29="","",IF(OR(F29="attack",F29="survey_review",F29="benchmark_measurement",F29="position_other",F29="not_defense"),"n/a",IF(OR(U29="spec_normatif",U29="produksi_bukti_publik"),"L3",IF(ISNUMBER(SEARCH("independent",O29)),"L2",IF(O29="author_run","L1",IF(O29="none","L0",""))))))</f>
        <v/>
      </c>
      <c r="Y29" s="18">
        <f>IF(F29="","",IF(AND(H29="deterministic_policy",J29="ya"),"PERIKSA: deterministic_policy tetapi LLM/ML ada dalam keputusan. ","")&amp;IF(AND(R29="ya",S29=""),"PERIKSA: adaptif=ya wajib ada kutipan. ","")&amp;IF(AND(O29="none",R29&lt;&gt;"n/a_tanpa_evaluasi",R29&lt;&gt;""),"PERIKSA: tanpa evaluasi, adaptif harus n/a. ","")&amp;IF(AND(OR(O29="author_run",O29="author_run+independent",O29="independent_only"),N29=""),"PERIKSA: isi kelas_dievaluasi. ","")&amp;IF(AND(OR(O29="author_run",O29="author_run+independent",O29="independent_only"),T29=""),"PERIKSA: isi lokasi_bukti. ","")&amp;IF(AND(E29="tidak",O29&lt;&gt;""),"PERIKSA: tanpa teks lengkap, kosongkan kolom evaluasi. ",""))</f>
        <v/>
      </c>
    </row>
    <row r="30" ht="23.85" customHeight="1" s="11">
      <c r="A30" s="15" t="inlineStr">
        <is>
          <t>shiqiang-2025-secure-model-context-protocol-large</t>
        </is>
      </c>
      <c r="B30" s="15" t="inlineStr">
        <is>
          <t>Secure Model Context Protocol for Large Language Models with Dual Signatures</t>
        </is>
      </c>
      <c r="C30" s="15" t="n">
        <v>2025</v>
      </c>
      <c r="D30" s="16" t="inlineStr">
        <is>
          <t>https://doi.org/10.1145/3737897.3767287</t>
        </is>
      </c>
      <c r="E30" s="17" t="inlineStr">
        <is>
          <t>tidak</t>
        </is>
      </c>
      <c r="F30" s="17" t="inlineStr">
        <is>
          <t>proposal_only</t>
        </is>
      </c>
      <c r="G30" s="17" t="inlineStr">
        <is>
          <t>unnamed:dual-signatures-mcp</t>
        </is>
      </c>
      <c r="H30" s="17" t="inlineStr">
        <is>
          <t>integrity_provenance</t>
        </is>
      </c>
      <c r="I30" s="17" t="inlineStr">
        <is>
          <t>Mengusulkan skema tanda tangan ganda (dual signatures) pada pesan dan deskriptor MCP untuk menjamin integritas interaksi antara model LLM dan server tool.</t>
        </is>
      </c>
      <c r="J30" s="17" t="inlineStr">
        <is>
          <t>tidak_jelas</t>
        </is>
      </c>
      <c r="K30" s="17" t="inlineStr">
        <is>
          <t>gateway_proxy</t>
        </is>
      </c>
      <c r="L30" s="17" t="inlineStr">
        <is>
          <t>R2;R4</t>
        </is>
      </c>
      <c r="M30" s="17" t="inlineStr">
        <is>
          <t>A1;A2;C3</t>
        </is>
      </c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inlineStr">
        <is>
          <t>Teks lengkap belum diunduh (Open Access ACM di balik proteksi anti-bot tantangan). Mengusulkan skema tanda tangan ganda (proposal_only). Kolom evaluasi dikosongkan sesuai Aturan 3.</t>
        </is>
      </c>
      <c r="X30" s="18">
        <f>IF(F30="","",IF(OR(F30="attack",F30="survey_review",F30="benchmark_measurement",F30="position_other",F30="not_defense"),"n/a",IF(OR(U30="spec_normatif",U30="produksi_bukti_publik"),"L3",IF(ISNUMBER(SEARCH("independent",O30)),"L2",IF(O30="author_run","L1",IF(O30="none","L0",""))))))</f>
        <v/>
      </c>
      <c r="Y30" s="18">
        <f>IF(F30="","",IF(AND(H30="deterministic_policy",J30="ya"),"PERIKSA: deterministic_policy tetapi LLM/ML ada dalam keputusan. ","")&amp;IF(AND(R30="ya",S30=""),"PERIKSA: adaptif=ya wajib ada kutipan. ","")&amp;IF(AND(O30="none",R30&lt;&gt;"n/a_tanpa_evaluasi",R30&lt;&gt;""),"PERIKSA: tanpa evaluasi, adaptif harus n/a. ","")&amp;IF(AND(OR(O30="author_run",O30="author_run+independent",O30="independent_only"),N30=""),"PERIKSA: isi kelas_dievaluasi. ","")&amp;IF(AND(OR(O30="author_run",O30="author_run+independent",O30="independent_only"),T30=""),"PERIKSA: isi lokasi_bukti. ","")&amp;IF(AND(E30="tidak",O30&lt;&gt;""),"PERIKSA: tanpa teks lengkap, kosongkan kolom evaluasi. ",""))</f>
        <v/>
      </c>
    </row>
    <row r="31" ht="23.85" customHeight="1" s="11">
      <c r="A31" s="15" t="inlineStr">
        <is>
          <t>ping-2026-hybrid-analysis-secure-mcp-tool</t>
        </is>
      </c>
      <c r="B31" s="15" t="inlineStr">
        <is>
          <t>Hybrid Analysis for Secure MCP Tool Use in LLM Agents</t>
        </is>
      </c>
      <c r="C31" s="15" t="n">
        <v>2026</v>
      </c>
      <c r="D31" s="16" t="inlineStr">
        <is>
          <t>https://arxiv.org/abs/2607.25297</t>
        </is>
      </c>
      <c r="E31" s="17" t="inlineStr">
        <is>
          <t>ya</t>
        </is>
      </c>
      <c r="F31" s="17" t="inlineStr">
        <is>
          <t>defense_primary</t>
        </is>
      </c>
      <c r="G31" s="17" t="inlineStr">
        <is>
          <t>MTGuard</t>
        </is>
      </c>
      <c r="H31" s="17" t="inlineStr">
        <is>
          <t>content_inspection_runtime</t>
        </is>
      </c>
      <c r="I31" s="17" t="inlineStr">
        <is>
          <t>Agen pengawas (guard agent) eksternal yang mencegat alur invokasi tool MCP melalui audit parameter pra-eksekusi, pemantauan perilaku saat-eksekusi, dan verifikasi hasil pasca-eksekusi.</t>
        </is>
      </c>
      <c r="J31" s="17" t="inlineStr">
        <is>
          <t>ya</t>
        </is>
      </c>
      <c r="K31" s="17" t="inlineStr">
        <is>
          <t>gateway_proxy</t>
        </is>
      </c>
      <c r="L31" s="17" t="inlineStr">
        <is>
          <t>R2;R3;R5</t>
        </is>
      </c>
      <c r="M31" s="17" t="inlineStr">
        <is>
          <t>A1;A2;C1;C5</t>
        </is>
      </c>
      <c r="N31" s="17" t="inlineStr">
        <is>
          <t>A1;A2;C1;C5</t>
        </is>
      </c>
      <c r="O31" s="17" t="inlineStr">
        <is>
          <t>author_run</t>
        </is>
      </c>
      <c r="P31" s="17" t="n"/>
      <c r="Q31" s="17" t="inlineStr">
        <is>
          <t>authors_own</t>
        </is>
      </c>
      <c r="R31" s="17" t="inlineStr">
        <is>
          <t>tidak</t>
        </is>
      </c>
      <c r="S31" s="17" t="n"/>
      <c r="T31" s="17" t="inlineStr">
        <is>
          <t>Sec 3; Sec 4; Table 1; hal. 6-8</t>
        </is>
      </c>
      <c r="U31" s="17" t="inlineStr">
        <is>
          <t>prototype_open_source</t>
        </is>
      </c>
      <c r="V31" s="17" t="inlineStr">
        <is>
          <t>false positive rate 3.7%, modest runtime overhead dilaporkan (Sec 4 / hal. 7-8)</t>
        </is>
      </c>
      <c r="W31" s="17" t="inlineStr">
        <is>
          <t>Kerangka pertahanan analisis hibrida statis-dinamis (MTGuard) sebagai agen pengawas eksternal sepanjang siklus invokasi tool MCP.</t>
        </is>
      </c>
      <c r="X31" s="18">
        <f>IF(F31="","",IF(OR(F31="attack",F31="survey_review",F31="benchmark_measurement",F31="position_other",F31="not_defense"),"n/a",IF(OR(U31="spec_normatif",U31="produksi_bukti_publik"),"L3",IF(ISNUMBER(SEARCH("independent",O31)),"L2",IF(O31="author_run","L1",IF(O31="none","L0",""))))))</f>
        <v/>
      </c>
      <c r="Y31" s="18">
        <f>IF(F31="","",IF(AND(H31="deterministic_policy",J31="ya"),"PERIKSA: deterministic_policy tetapi LLM/ML ada dalam keputusan. ","")&amp;IF(AND(R31="ya",S31=""),"PERIKSA: adaptif=ya wajib ada kutipan. ","")&amp;IF(AND(O31="none",R31&lt;&gt;"n/a_tanpa_evaluasi",R31&lt;&gt;""),"PERIKSA: tanpa evaluasi, adaptif harus n/a. ","")&amp;IF(AND(OR(O31="author_run",O31="author_run+independent",O31="independent_only"),N31=""),"PERIKSA: isi kelas_dievaluasi. ","")&amp;IF(AND(OR(O31="author_run",O31="author_run+independent",O31="independent_only"),T31=""),"PERIKSA: isi lokasi_bukti. ","")&amp;IF(AND(E31="tidak",O31&lt;&gt;""),"PERIKSA: tanpa teks lengkap, kosongkan kolom evaluasi. ",""))</f>
        <v/>
      </c>
    </row>
    <row r="32" ht="23.85" customHeight="1" s="11">
      <c r="A32" s="15" t="inlineStr">
        <is>
          <t>xuanjun-2025-mcp-safetybench-benchmark-safety-evaluation</t>
        </is>
      </c>
      <c r="B32" s="15" t="inlineStr">
        <is>
          <t>MCP-SafetyBench: A Benchmark for Safety Evaluation of Large Language Models with Real-World MCP Servers</t>
        </is>
      </c>
      <c r="C32" s="15" t="n">
        <v>2025</v>
      </c>
      <c r="D32" s="16" t="inlineStr">
        <is>
          <t>https://arxiv.org/abs/2512.15163</t>
        </is>
      </c>
      <c r="E32" s="17" t="inlineStr">
        <is>
          <t>ya</t>
        </is>
      </c>
      <c r="F32" s="17" t="inlineStr">
        <is>
          <t>benchmark_measurement</t>
        </is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inlineStr">
        <is>
          <t>Benchmark komprehensif keselamatan evaluasi multi-turn agen LLM (MCP-SafetyBench) menggunakan server MCP dunia nyata; tanpa mekanisme pertahanan yang diimplementasikan.</t>
        </is>
      </c>
      <c r="X32" s="18">
        <f>IF(F32="","",IF(OR(F32="attack",F32="survey_review",F32="benchmark_measurement",F32="position_other",F32="not_defense"),"n/a",IF(OR(U32="spec_normatif",U32="produksi_bukti_publik"),"L3",IF(ISNUMBER(SEARCH("independent",O32)),"L2",IF(O32="author_run","L1",IF(O32="none","L0",""))))))</f>
        <v/>
      </c>
      <c r="Y32" s="18">
        <f>IF(F32="","",IF(AND(H32="deterministic_policy",J32="ya"),"PERIKSA: deterministic_policy tetapi LLM/ML ada dalam keputusan. ","")&amp;IF(AND(R32="ya",S32=""),"PERIKSA: adaptif=ya wajib ada kutipan. ","")&amp;IF(AND(O32="none",R32&lt;&gt;"n/a_tanpa_evaluasi",R32&lt;&gt;""),"PERIKSA: tanpa evaluasi, adaptif harus n/a. ","")&amp;IF(AND(OR(O32="author_run",O32="author_run+independent",O32="independent_only"),N32=""),"PERIKSA: isi kelas_dievaluasi. ","")&amp;IF(AND(OR(O32="author_run",O32="author_run+independent",O32="independent_only"),T32=""),"PERIKSA: isi lokasi_bukti. ","")&amp;IF(AND(E32="tidak",O32&lt;&gt;""),"PERIKSA: tanpa teks lengkap, kosongkan kolom evaluasi. ",""))</f>
        <v/>
      </c>
    </row>
    <row r="33" ht="35.05" customHeight="1" s="11">
      <c r="A33" s="15" t="inlineStr">
        <is>
          <t>tarek-2025-bridging-ai-software-security-comparative</t>
        </is>
      </c>
      <c r="B33" s="15" t="inlineStr">
        <is>
          <t>Bridging AI and Software Security: A Comparative Vulnerability Assessment of LLM Agent Deployment Paradigms</t>
        </is>
      </c>
      <c r="C33" s="15" t="n">
        <v>2025</v>
      </c>
      <c r="D33" s="16" t="inlineStr">
        <is>
          <t>https://arxiv.org/abs/2507.06323</t>
        </is>
      </c>
      <c r="E33" s="17" t="inlineStr">
        <is>
          <t>ya</t>
        </is>
      </c>
      <c r="F33" s="17" t="inlineStr">
        <is>
          <t>survey_review</t>
        </is>
      </c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inlineStr">
        <is>
          <t>Studi penilaian komparatif kerentanan paradigma deployment agen LLM (Function Calling vs MCP) tanpa implementasi mekanisme pertahanan baru.</t>
        </is>
      </c>
      <c r="X33" s="18">
        <f>IF(F33="","",IF(OR(F33="attack",F33="survey_review",F33="benchmark_measurement",F33="position_other",F33="not_defense"),"n/a",IF(OR(U33="spec_normatif",U33="produksi_bukti_publik"),"L3",IF(ISNUMBER(SEARCH("independent",O33)),"L2",IF(O33="author_run","L1",IF(O33="none","L0",""))))))</f>
        <v/>
      </c>
      <c r="Y33" s="18">
        <f>IF(F33="","",IF(AND(H33="deterministic_policy",J33="ya"),"PERIKSA: deterministic_policy tetapi LLM/ML ada dalam keputusan. ","")&amp;IF(AND(R33="ya",S33=""),"PERIKSA: adaptif=ya wajib ada kutipan. ","")&amp;IF(AND(O33="none",R33&lt;&gt;"n/a_tanpa_evaluasi",R33&lt;&gt;""),"PERIKSA: tanpa evaluasi, adaptif harus n/a. ","")&amp;IF(AND(OR(O33="author_run",O33="author_run+independent",O33="independent_only"),N33=""),"PERIKSA: isi kelas_dievaluasi. ","")&amp;IF(AND(OR(O33="author_run",O33="author_run+independent",O33="independent_only"),T33=""),"PERIKSA: isi lokasi_bukti. ","")&amp;IF(AND(E33="tidak",O33&lt;&gt;""),"PERIKSA: tanpa teks lengkap, kosongkan kolom evaluasi. ",""))</f>
        <v/>
      </c>
    </row>
    <row r="34" ht="23.85" customHeight="1" s="11">
      <c r="A34" s="15" t="inlineStr">
        <is>
          <t>alfredo-2026-attested-tool-server-admission-security</t>
        </is>
      </c>
      <c r="B34" s="15" t="inlineStr">
        <is>
          <t>Attested Tool-Server Admission: A Security Extension to the Model Context Protocol</t>
        </is>
      </c>
      <c r="C34" s="15" t="n">
        <v>2026</v>
      </c>
      <c r="D34" s="16" t="inlineStr">
        <is>
          <t>https://arxiv.org/abs/2605.24248</t>
        </is>
      </c>
      <c r="E34" s="17" t="inlineStr">
        <is>
          <t>ya</t>
        </is>
      </c>
      <c r="F34" s="17" t="inlineStr">
        <is>
          <t>defense_primary</t>
        </is>
      </c>
      <c r="G34" s="17" t="inlineStr">
        <is>
          <t>mcp-attested</t>
        </is>
      </c>
      <c r="H34" s="17" t="inlineStr">
        <is>
          <t>integrity_provenance</t>
        </is>
      </c>
      <c r="I34" s="17" t="inlineStr">
        <is>
          <t>Lapisan admisi berbasis gerbang host yang memverifikasi manifes izin bertanda tangan kriptografis (clearance assertions) dari trust root sebelum koneksi server MCP diizinkan.</t>
        </is>
      </c>
      <c r="J34" s="17" t="inlineStr">
        <is>
          <t>tidak</t>
        </is>
      </c>
      <c r="K34" s="17" t="inlineStr">
        <is>
          <t>registry</t>
        </is>
      </c>
      <c r="L34" s="17" t="inlineStr">
        <is>
          <t>R4;R7</t>
        </is>
      </c>
      <c r="M34" s="17" t="inlineStr">
        <is>
          <t>B1;B2;C3</t>
        </is>
      </c>
      <c r="N34" s="17" t="inlineStr">
        <is>
          <t>B1;B2;C3</t>
        </is>
      </c>
      <c r="O34" s="17" t="inlineStr">
        <is>
          <t>author_run</t>
        </is>
      </c>
      <c r="P34" s="17" t="n"/>
      <c r="Q34" s="17" t="inlineStr">
        <is>
          <t>authors_own</t>
        </is>
      </c>
      <c r="R34" s="17" t="inlineStr">
        <is>
          <t>tidak</t>
        </is>
      </c>
      <c r="S34" s="17" t="n"/>
      <c r="T34" s="17" t="inlineStr">
        <is>
          <t>Sec 7; Table 1; Fig 1; Fig 2; hal. 11-14</t>
        </is>
      </c>
      <c r="U34" s="17" t="inlineStr">
        <is>
          <t>prototype_open_source</t>
        </is>
      </c>
      <c r="V34" s="17" t="inlineStr">
        <is>
          <t>overhead admisi koneksi dan penegakan zero network leak dilaporkan (Sec 7 / hal. 12-13)</t>
        </is>
      </c>
      <c r="W34" s="17" t="inlineStr">
        <is>
          <t>Lapisan admisi server MCP teratestasi (mcp-attested/ATSA) berbasis tanda tangan kriptografis dokumen clearance pada trust root.</t>
        </is>
      </c>
      <c r="X34" s="18">
        <f>IF(F34="","",IF(OR(F34="attack",F34="survey_review",F34="benchmark_measurement",F34="position_other",F34="not_defense"),"n/a",IF(OR(U34="spec_normatif",U34="produksi_bukti_publik"),"L3",IF(ISNUMBER(SEARCH("independent",O34)),"L2",IF(O34="author_run","L1",IF(O34="none","L0",""))))))</f>
        <v/>
      </c>
      <c r="Y34" s="18">
        <f>IF(F34="","",IF(AND(H34="deterministic_policy",J34="ya"),"PERIKSA: deterministic_policy tetapi LLM/ML ada dalam keputusan. ","")&amp;IF(AND(R34="ya",S34=""),"PERIKSA: adaptif=ya wajib ada kutipan. ","")&amp;IF(AND(O34="none",R34&lt;&gt;"n/a_tanpa_evaluasi",R34&lt;&gt;""),"PERIKSA: tanpa evaluasi, adaptif harus n/a. ","")&amp;IF(AND(OR(O34="author_run",O34="author_run+independent",O34="independent_only"),N34=""),"PERIKSA: isi kelas_dievaluasi. ","")&amp;IF(AND(OR(O34="author_run",O34="author_run+independent",O34="independent_only"),T34=""),"PERIKSA: isi lokasi_bukti. ","")&amp;IF(AND(E34="tidak",O34&lt;&gt;""),"PERIKSA: tanpa teks lengkap, kosongkan kolom evaluasi. ",""))</f>
        <v/>
      </c>
    </row>
    <row r="35" ht="23.85" customHeight="1" s="11">
      <c r="A35" s="15" t="inlineStr">
        <is>
          <t>jaehyun-2025-preserving-onem2m-security-semantics-llm</t>
        </is>
      </c>
      <c r="B35" s="15" t="inlineStr">
        <is>
          <t>Preserving oneM2M Security Semantics in LLM-IoT Integration with Model Context Protocol</t>
        </is>
      </c>
      <c r="C35" s="15" t="n">
        <v>2025</v>
      </c>
      <c r="D35" s="16" t="inlineStr">
        <is>
          <t>https://doi.org/10.1109/AIoT66900.2025.00032</t>
        </is>
      </c>
      <c r="E35" s="17" t="inlineStr">
        <is>
          <t>tidak</t>
        </is>
      </c>
      <c r="F35" s="17" t="inlineStr">
        <is>
          <t>proposal_only</t>
        </is>
      </c>
      <c r="G35" s="17" t="inlineStr">
        <is>
          <t>unnamed:onem2m-security-semantics</t>
        </is>
      </c>
      <c r="H35" s="17" t="inlineStr">
        <is>
          <t>protocol_provision</t>
        </is>
      </c>
      <c r="I35" s="17" t="inlineStr">
        <is>
          <t>Usulan pelestarian semantik keamanan standar IoT oneM2M saat diintegrasikan dengan Model Context Protocol untuk mencegah pelanggaran otorisasi perintah.</t>
        </is>
      </c>
      <c r="J35" s="17" t="inlineStr">
        <is>
          <t>tidak_jelas</t>
        </is>
      </c>
      <c r="K35" s="17" t="inlineStr">
        <is>
          <t>gateway_proxy</t>
        </is>
      </c>
      <c r="L35" s="17" t="inlineStr">
        <is>
          <t>R3;R5</t>
        </is>
      </c>
      <c r="M35" s="17" t="inlineStr">
        <is>
          <t>C1;C5</t>
        </is>
      </c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inlineStr">
        <is>
          <t>Teks lengkap paywalled murni (IEEE AIoT 2025). Mengusulkan integrasi semantik keamanan oneM2M pada MCP (proposal_only). Kolom evaluasi dikosongkan sesuai Aturan 3.</t>
        </is>
      </c>
      <c r="X35" s="18">
        <f>IF(F35="","",IF(OR(F35="attack",F35="survey_review",F35="benchmark_measurement",F35="position_other",F35="not_defense"),"n/a",IF(OR(U35="spec_normatif",U35="produksi_bukti_publik"),"L3",IF(ISNUMBER(SEARCH("independent",O35)),"L2",IF(O35="author_run","L1",IF(O35="none","L0",""))))))</f>
        <v/>
      </c>
      <c r="Y35" s="18">
        <f>IF(F35="","",IF(AND(H35="deterministic_policy",J35="ya"),"PERIKSA: deterministic_policy tetapi LLM/ML ada dalam keputusan. ","")&amp;IF(AND(R35="ya",S35=""),"PERIKSA: adaptif=ya wajib ada kutipan. ","")&amp;IF(AND(O35="none",R35&lt;&gt;"n/a_tanpa_evaluasi",R35&lt;&gt;""),"PERIKSA: tanpa evaluasi, adaptif harus n/a. ","")&amp;IF(AND(OR(O35="author_run",O35="author_run+independent",O35="independent_only"),N35=""),"PERIKSA: isi kelas_dievaluasi. ","")&amp;IF(AND(OR(O35="author_run",O35="author_run+independent",O35="independent_only"),T35=""),"PERIKSA: isi lokasi_bukti. ","")&amp;IF(AND(E35="tidak",O35&lt;&gt;""),"PERIKSA: tanpa teks lengkap, kosongkan kolom evaluasi. ",""))</f>
        <v/>
      </c>
    </row>
    <row r="36" ht="23.85" customHeight="1" s="11">
      <c r="A36" s="15" t="inlineStr">
        <is>
          <t>wenpeng-2025-mcp-guard-multi-stage-defense</t>
        </is>
      </c>
      <c r="B36" s="15" t="inlineStr">
        <is>
          <t>MCP-Guard: A Multi-Stage Defense-in-Depth Framework for Securing Model Context Protocol in Agentic AI</t>
        </is>
      </c>
      <c r="C36" s="15" t="n">
        <v>2025</v>
      </c>
      <c r="D36" s="16" t="inlineStr">
        <is>
          <t>https://arxiv.org/abs/2508.10991</t>
        </is>
      </c>
      <c r="E36" s="17" t="inlineStr">
        <is>
          <t>ya</t>
        </is>
      </c>
      <c r="F36" s="17" t="inlineStr">
        <is>
          <t>defense_primary</t>
        </is>
      </c>
      <c r="G36" s="17" t="inlineStr">
        <is>
          <t>MCP-Guard</t>
        </is>
      </c>
      <c r="H36" s="17" t="inlineStr">
        <is>
          <t>content_inspection_runtime</t>
        </is>
      </c>
      <c r="I36" s="17" t="inlineStr">
        <is>
          <t>Kerangka kerja pertahanan berlapis tiga tahap (filter statis, klasifikator neural, dan arbitrase LLM) untuk memeriksa integritas semantik interaksi tool MCP secara runtime.</t>
        </is>
      </c>
      <c r="J36" s="17" t="inlineStr">
        <is>
          <t>ya</t>
        </is>
      </c>
      <c r="K36" s="17" t="inlineStr">
        <is>
          <t>gateway_proxy</t>
        </is>
      </c>
      <c r="L36" s="17" t="inlineStr">
        <is>
          <t>R2;R3</t>
        </is>
      </c>
      <c r="M36" s="17" t="inlineStr">
        <is>
          <t>A1;A2;C1</t>
        </is>
      </c>
      <c r="N36" s="17" t="inlineStr">
        <is>
          <t>A1;A2;C1</t>
        </is>
      </c>
      <c r="O36" s="17" t="inlineStr">
        <is>
          <t>author_run</t>
        </is>
      </c>
      <c r="P36" s="17" t="n"/>
      <c r="Q36" s="17" t="inlineStr">
        <is>
          <t>authors_own</t>
        </is>
      </c>
      <c r="R36" s="17" t="inlineStr">
        <is>
          <t>tidak</t>
        </is>
      </c>
      <c r="S36" s="17" t="n"/>
      <c r="T36" s="17" t="inlineStr">
        <is>
          <t>Sec 3; Sec 4; Table 2; hal. 4-6</t>
        </is>
      </c>
      <c r="U36" s="17" t="inlineStr">
        <is>
          <t>prototype_open_source</t>
        </is>
      </c>
      <c r="V36" s="17" t="inlineStr">
        <is>
          <t>pengurangan latensi 51% vs standalone LLM defenses, F1 89.1% (Sec 1 / Table 2)</t>
        </is>
      </c>
      <c r="W36" s="17" t="inlineStr">
        <is>
          <t>Pertahanan berlapis tiga tahap (filter statis, klasifikator neural, arbitrase LLM) terhadap manipulasi tool MCP dengan benchmark MCP-AttackBench.</t>
        </is>
      </c>
      <c r="X36" s="18">
        <f>IF(F36="","",IF(OR(F36="attack",F36="survey_review",F36="benchmark_measurement",F36="position_other",F36="not_defense"),"n/a",IF(OR(U36="spec_normatif",U36="produksi_bukti_publik"),"L3",IF(ISNUMBER(SEARCH("independent",O36)),"L2",IF(O36="author_run","L1",IF(O36="none","L0",""))))))</f>
        <v/>
      </c>
      <c r="Y36" s="18">
        <f>IF(F36="","",IF(AND(H36="deterministic_policy",J36="ya"),"PERIKSA: deterministic_policy tetapi LLM/ML ada dalam keputusan. ","")&amp;IF(AND(R36="ya",S36=""),"PERIKSA: adaptif=ya wajib ada kutipan. ","")&amp;IF(AND(O36="none",R36&lt;&gt;"n/a_tanpa_evaluasi",R36&lt;&gt;""),"PERIKSA: tanpa evaluasi, adaptif harus n/a. ","")&amp;IF(AND(OR(O36="author_run",O36="author_run+independent",O36="independent_only"),N36=""),"PERIKSA: isi kelas_dievaluasi. ","")&amp;IF(AND(OR(O36="author_run",O36="author_run+independent",O36="independent_only"),T36=""),"PERIKSA: isi lokasi_bukti. ","")&amp;IF(AND(E36="tidak",O36&lt;&gt;""),"PERIKSA: tanpa teks lengkap, kosongkan kolom evaluasi. ",""))</f>
        <v/>
      </c>
    </row>
    <row r="37" ht="35.05" customHeight="1" s="11">
      <c r="A37" s="15" t="inlineStr">
        <is>
          <t>manish-2025-etdi-mitigating-tool-squatting-rug</t>
        </is>
      </c>
      <c r="B37" s="15" t="inlineStr">
        <is>
          <t>ETDI: Mitigating Tool Squatting and Rug Pull Attacks in Model Context Protocol (MCP) by using OAuth-Enhanced Tool Definitions and Policy-Based Access Control</t>
        </is>
      </c>
      <c r="C37" s="15" t="n">
        <v>2025</v>
      </c>
      <c r="D37" s="16" t="inlineStr">
        <is>
          <t>https://arxiv.org/abs/2506.01333</t>
        </is>
      </c>
      <c r="E37" s="17" t="inlineStr">
        <is>
          <t>ya</t>
        </is>
      </c>
      <c r="F37" s="17" t="inlineStr">
        <is>
          <t>defense_primary</t>
        </is>
      </c>
      <c r="G37" s="17" t="inlineStr">
        <is>
          <t>ETDI</t>
        </is>
      </c>
      <c r="H37" s="17" t="inlineStr">
        <is>
          <t>deterministic_policy</t>
        </is>
      </c>
      <c r="I37" s="17" t="inlineStr">
        <is>
          <t>Ekstensi definisi tool MCP yang ditingkatkan dengan cakupan OAuth dan evaluasi kebijakan eksplisit deterministik (mesin Cedar) untuk memitigasi tool squatting dan rug pull.</t>
        </is>
      </c>
      <c r="J37" s="17" t="inlineStr">
        <is>
          <t>tidak</t>
        </is>
      </c>
      <c r="K37" s="17" t="inlineStr">
        <is>
          <t>gateway_proxy</t>
        </is>
      </c>
      <c r="L37" s="17" t="inlineStr">
        <is>
          <t>R2;R4;R7</t>
        </is>
      </c>
      <c r="M37" s="17" t="inlineStr">
        <is>
          <t>A1;B1;C1</t>
        </is>
      </c>
      <c r="N37" s="17" t="inlineStr">
        <is>
          <t>A1;B1;C1</t>
        </is>
      </c>
      <c r="O37" s="17" t="inlineStr">
        <is>
          <t>author_run</t>
        </is>
      </c>
      <c r="P37" s="17" t="n"/>
      <c r="Q37" s="17" t="inlineStr">
        <is>
          <t>authors_own</t>
        </is>
      </c>
      <c r="R37" s="17" t="inlineStr">
        <is>
          <t>tidak</t>
        </is>
      </c>
      <c r="S37" s="17" t="n"/>
      <c r="T37" s="17" t="inlineStr">
        <is>
          <t>Sec 3; Sec 5; hal. 5-7</t>
        </is>
      </c>
      <c r="U37" s="17" t="inlineStr">
        <is>
          <t>prototype_open_source</t>
        </is>
      </c>
      <c r="V37" s="17" t="inlineStr">
        <is>
          <t>evaluasi kebijakan deterministik &lt;1 ms (Sec 5 / hal. 7)</t>
        </is>
      </c>
      <c r="W37" s="17" t="inlineStr">
        <is>
          <t>Ekstensi antarmuka definisi tool (ETDI) dengan kontrol akses berbasis kebijakan deterministik (Cedar/OAuth scopes) untuk mencegah rug pull dan squatting.</t>
        </is>
      </c>
      <c r="X37" s="18">
        <f>IF(F37="","",IF(OR(F37="attack",F37="survey_review",F37="benchmark_measurement",F37="position_other",F37="not_defense"),"n/a",IF(OR(U37="spec_normatif",U37="produksi_bukti_publik"),"L3",IF(ISNUMBER(SEARCH("independent",O37)),"L2",IF(O37="author_run","L1",IF(O37="none","L0",""))))))</f>
        <v/>
      </c>
      <c r="Y37" s="18">
        <f>IF(F37="","",IF(AND(H37="deterministic_policy",J37="ya"),"PERIKSA: deterministic_policy tetapi LLM/ML ada dalam keputusan. ","")&amp;IF(AND(R37="ya",S37=""),"PERIKSA: adaptif=ya wajib ada kutipan. ","")&amp;IF(AND(O37="none",R37&lt;&gt;"n/a_tanpa_evaluasi",R37&lt;&gt;""),"PERIKSA: tanpa evaluasi, adaptif harus n/a. ","")&amp;IF(AND(OR(O37="author_run",O37="author_run+independent",O37="independent_only"),N37=""),"PERIKSA: isi kelas_dievaluasi. ","")&amp;IF(AND(OR(O37="author_run",O37="author_run+independent",O37="independent_only"),T37=""),"PERIKSA: isi lokasi_bukti. ","")&amp;IF(AND(E37="tidak",O37&lt;&gt;""),"PERIKSA: tanpa teks lengkap, kosongkan kolom evaluasi. ",""))</f>
        <v/>
      </c>
    </row>
    <row r="38" ht="23.85" customHeight="1" s="11">
      <c r="A38" s="15" t="inlineStr">
        <is>
          <t>muhammad-2026-when-agents-look-like-beacons</t>
        </is>
      </c>
      <c r="B38" s="15" t="inlineStr">
        <is>
          <t>When Agents Look Like Beacons: NIDS Evasion by Model Context Protocol Traffic</t>
        </is>
      </c>
      <c r="C38" s="15" t="n">
        <v>2026</v>
      </c>
      <c r="D38" s="16" t="inlineStr">
        <is>
          <t>https://arxiv.org/abs/2609.19091</t>
        </is>
      </c>
      <c r="E38" s="17" t="inlineStr">
        <is>
          <t>ya</t>
        </is>
      </c>
      <c r="F38" s="17" t="inlineStr">
        <is>
          <t>attack</t>
        </is>
      </c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inlineStr">
        <is>
          <t>Paper studi empiris/serangan penghindaran deteksi NIDS (evasion/C2 beaconing) oleh lalu lintas Streamable HTTP MCP tanpa mitigasi yang diimplementasikan.</t>
        </is>
      </c>
      <c r="X38" s="18">
        <f>IF(F38="","",IF(OR(F38="attack",F38="survey_review",F38="benchmark_measurement",F38="position_other",F38="not_defense"),"n/a",IF(OR(U38="spec_normatif",U38="produksi_bukti_publik"),"L3",IF(ISNUMBER(SEARCH("independent",O38)),"L2",IF(O38="author_run","L1",IF(O38="none","L0",""))))))</f>
        <v/>
      </c>
      <c r="Y38" s="18">
        <f>IF(F38="","",IF(AND(H38="deterministic_policy",J38="ya"),"PERIKSA: deterministic_policy tetapi LLM/ML ada dalam keputusan. ","")&amp;IF(AND(R38="ya",S38=""),"PERIKSA: adaptif=ya wajib ada kutipan. ","")&amp;IF(AND(O38="none",R38&lt;&gt;"n/a_tanpa_evaluasi",R38&lt;&gt;""),"PERIKSA: tanpa evaluasi, adaptif harus n/a. ","")&amp;IF(AND(OR(O38="author_run",O38="author_run+independent",O38="independent_only"),N38=""),"PERIKSA: isi kelas_dievaluasi. ","")&amp;IF(AND(OR(O38="author_run",O38="author_run+independent",O38="independent_only"),T38=""),"PERIKSA: isi lokasi_bukti. ","")&amp;IF(AND(E38="tidak",O38&lt;&gt;""),"PERIKSA: tanpa teks lengkap, kosongkan kolom evaluasi. ",""))</f>
        <v/>
      </c>
    </row>
    <row r="39" ht="23.85" customHeight="1" s="11">
      <c r="A39" s="15" t="inlineStr">
        <is>
          <t>murali-2026-measuring-exploiting-implicit-trust-llm</t>
        </is>
      </c>
      <c r="B39" s="15" t="inlineStr">
        <is>
          <t>Measuring and Exploiting Implicit Trust in LLM Tool-Calling Pipelines</t>
        </is>
      </c>
      <c r="C39" s="15" t="n">
        <v>2026</v>
      </c>
      <c r="D39" s="16" t="inlineStr">
        <is>
          <t>https://arxiv.org/abs/2609.18217</t>
        </is>
      </c>
      <c r="E39" s="17" t="inlineStr">
        <is>
          <t>ya</t>
        </is>
      </c>
      <c r="F39" s="17" t="inlineStr">
        <is>
          <t>attack</t>
        </is>
      </c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inlineStr">
        <is>
          <t>Paper serangan eksfiltrasi kredensial fragmentasi lintas-saluran (cross-channel fragmentation attacks) pada pipeline tool-calling MCP; tanpa mitigasi yang diimplementasikan.</t>
        </is>
      </c>
      <c r="X39" s="18">
        <f>IF(F39="","",IF(OR(F39="attack",F39="survey_review",F39="benchmark_measurement",F39="position_other",F39="not_defense"),"n/a",IF(OR(U39="spec_normatif",U39="produksi_bukti_publik"),"L3",IF(ISNUMBER(SEARCH("independent",O39)),"L2",IF(O39="author_run","L1",IF(O39="none","L0",""))))))</f>
        <v/>
      </c>
      <c r="Y39" s="18">
        <f>IF(F39="","",IF(AND(H39="deterministic_policy",J39="ya"),"PERIKSA: deterministic_policy tetapi LLM/ML ada dalam keputusan. ","")&amp;IF(AND(R39="ya",S39=""),"PERIKSA: adaptif=ya wajib ada kutipan. ","")&amp;IF(AND(O39="none",R39&lt;&gt;"n/a_tanpa_evaluasi",R39&lt;&gt;""),"PERIKSA: tanpa evaluasi, adaptif harus n/a. ","")&amp;IF(AND(OR(O39="author_run",O39="author_run+independent",O39="independent_only"),N39=""),"PERIKSA: isi kelas_dievaluasi. ","")&amp;IF(AND(OR(O39="author_run",O39="author_run+independent",O39="independent_only"),T39=""),"PERIKSA: isi lokasi_bukti. ","")&amp;IF(AND(E39="tidak",O39&lt;&gt;""),"PERIKSA: tanpa teks lengkap, kosongkan kolom evaluasi. ",""))</f>
        <v/>
      </c>
    </row>
  </sheetData>
  <autoFilter ref="A1:Y39"/>
  <dataValidations count="9">
    <dataValidation sqref="F2:F39" showDropDown="0" showInputMessage="0" showErrorMessage="0" allowBlank="1" type="list" errorStyle="stop" operator="between">
      <formula1>Daftar!$A$2:$A$9</formula1>
      <formula2>0</formula2>
    </dataValidation>
    <dataValidation sqref="H2:H39" showDropDown="0" showInputMessage="0" showErrorMessage="0" allowBlank="1" type="list" errorStyle="stop" operator="between">
      <formula1>Daftar!$B$2:$B$10</formula1>
      <formula2>0</formula2>
    </dataValidation>
    <dataValidation sqref="J2:J39" showDropDown="0" showInputMessage="0" showErrorMessage="0" allowBlank="1" type="list" errorStyle="stop" operator="between">
      <formula1>Daftar!$C$2:$C$4</formula1>
      <formula2>0</formula2>
    </dataValidation>
    <dataValidation sqref="K2:K39" showDropDown="0" showInputMessage="0" showErrorMessage="0" allowBlank="1" type="list" errorStyle="stop" operator="between">
      <formula1>Daftar!$D$2:$D$10</formula1>
      <formula2>0</formula2>
    </dataValidation>
    <dataValidation sqref="O2:O39" showDropDown="0" showInputMessage="0" showErrorMessage="0" allowBlank="1" type="list" errorStyle="stop" operator="between">
      <formula1>Daftar!$E$2:$E$6</formula1>
      <formula2>0</formula2>
    </dataValidation>
    <dataValidation sqref="Q2:Q39" showDropDown="0" showInputMessage="0" showErrorMessage="0" allowBlank="1" type="list" errorStyle="stop" operator="between">
      <formula1>Daftar!$F$2:$F$5</formula1>
      <formula2>0</formula2>
    </dataValidation>
    <dataValidation sqref="R2:R39" showDropDown="0" showInputMessage="0" showErrorMessage="0" allowBlank="1" type="list" errorStyle="stop" operator="between">
      <formula1>Daftar!$G$2:$G$5</formula1>
      <formula2>0</formula2>
    </dataValidation>
    <dataValidation sqref="U2:U39" showDropDown="0" showInputMessage="0" showErrorMessage="0" allowBlank="1" type="list" errorStyle="stop" operator="between">
      <formula1>Daftar!$H$2:$H$5</formula1>
      <formula2>0</formula2>
    </dataValidation>
    <dataValidation sqref="E2:E39" showDropDown="0" showInputMessage="0" showErrorMessage="0" allowBlank="1" type="list" errorStyle="stop" operator="between">
      <formula1>Daftar!$I$2:$I$3</formula1>
      <formula2>0</formula2>
    </dataValidation>
  </dataValidations>
  <hyperlinks>
    <hyperlink xmlns:r="http://schemas.openxmlformats.org/officeDocument/2006/relationships" ref="D2" display="https://arxiv.org/abs/2512.06556" r:id="rId1"/>
    <hyperlink xmlns:r="http://schemas.openxmlformats.org/officeDocument/2006/relationships" ref="D3" display="https://arxiv.org/abs/2506.13538" r:id="rId2"/>
    <hyperlink xmlns:r="http://schemas.openxmlformats.org/officeDocument/2006/relationships" ref="D4" display="https://arxiv.org/abs/2503.23278" r:id="rId3"/>
    <hyperlink xmlns:r="http://schemas.openxmlformats.org/officeDocument/2006/relationships" ref="D5" display="https://arxiv.org/abs/2504.03767" r:id="rId4"/>
    <hyperlink xmlns:r="http://schemas.openxmlformats.org/officeDocument/2006/relationships" ref="D6" display="https://doi.org/10.1109/acai68217.2025.11406667" r:id="rId5"/>
    <hyperlink xmlns:r="http://schemas.openxmlformats.org/officeDocument/2006/relationships" ref="D7" display="https://doi.org/10.18653/v1/2025.emnlp-main.62" r:id="rId6"/>
    <hyperlink xmlns:r="http://schemas.openxmlformats.org/officeDocument/2006/relationships" ref="D8" display="https://arxiv.org/abs/2601.20184" r:id="rId7"/>
    <hyperlink xmlns:r="http://schemas.openxmlformats.org/officeDocument/2006/relationships" ref="D9" display="https://arxiv.org/abs/2605.17380" r:id="rId8"/>
    <hyperlink xmlns:r="http://schemas.openxmlformats.org/officeDocument/2006/relationships" ref="D10" display="https://arxiv.org/abs/2609.00267" r:id="rId9"/>
    <hyperlink xmlns:r="http://schemas.openxmlformats.org/officeDocument/2006/relationships" ref="D11" display="https://arxiv.org/abs/2607.11086" r:id="rId10"/>
    <hyperlink xmlns:r="http://schemas.openxmlformats.org/officeDocument/2006/relationships" ref="D12" display="https://arxiv.org/abs/2508.20412" r:id="rId11"/>
    <hyperlink xmlns:r="http://schemas.openxmlformats.org/officeDocument/2006/relationships" ref="D13" display="https://arxiv.org/abs/2603.05637" r:id="rId12"/>
    <hyperlink xmlns:r="http://schemas.openxmlformats.org/officeDocument/2006/relationships" ref="D14" display="https://arxiv.org/abs/2607.19432" r:id="rId13"/>
    <hyperlink xmlns:r="http://schemas.openxmlformats.org/officeDocument/2006/relationships" ref="D15" display="https://doi.org/10.1109/ojcs.2026.3664314" r:id="rId14"/>
    <hyperlink xmlns:r="http://schemas.openxmlformats.org/officeDocument/2006/relationships" ref="D16" display="https://doi.org/10.1109/ISED67359.2025.11405153" r:id="rId15"/>
    <hyperlink xmlns:r="http://schemas.openxmlformats.org/officeDocument/2006/relationships" ref="D17" display="https://arxiv.org/abs/2606.29073" r:id="rId16"/>
    <hyperlink xmlns:r="http://schemas.openxmlformats.org/officeDocument/2006/relationships" ref="D19" display="https://arxiv.org/abs/2602.15945" r:id="rId17"/>
    <hyperlink xmlns:r="http://schemas.openxmlformats.org/officeDocument/2006/relationships" ref="D20" display="https://arxiv.org/abs/2605.24069" r:id="rId18"/>
    <hyperlink xmlns:r="http://schemas.openxmlformats.org/officeDocument/2006/relationships" ref="D21" display="https://arxiv.org/abs/2511.20920" r:id="rId19"/>
    <hyperlink xmlns:r="http://schemas.openxmlformats.org/officeDocument/2006/relationships" ref="D22" display="https://arxiv.org/abs/2507.19880" r:id="rId20"/>
    <hyperlink xmlns:r="http://schemas.openxmlformats.org/officeDocument/2006/relationships" ref="D23" display="https://arxiv.org/abs/2509.06572" r:id="rId21"/>
    <hyperlink xmlns:r="http://schemas.openxmlformats.org/officeDocument/2006/relationships" ref="D24" display="https://doi.org/10.1007/978-3-032-31998-2_13" r:id="rId22"/>
    <hyperlink xmlns:r="http://schemas.openxmlformats.org/officeDocument/2006/relationships" ref="D25" display="https://arxiv.org/abs/2603.10194" r:id="rId23"/>
    <hyperlink xmlns:r="http://schemas.openxmlformats.org/officeDocument/2006/relationships" ref="D26" display="https://arxiv.org/abs/2601.07395" r:id="rId24"/>
    <hyperlink xmlns:r="http://schemas.openxmlformats.org/officeDocument/2006/relationships" ref="D27" display="https://arxiv.org/abs/2609.02690" r:id="rId25"/>
    <hyperlink xmlns:r="http://schemas.openxmlformats.org/officeDocument/2006/relationships" ref="D28" display="https://doi.org/10.25559/sitito.021.202503.420-428" r:id="rId26"/>
    <hyperlink xmlns:r="http://schemas.openxmlformats.org/officeDocument/2006/relationships" ref="D29" display="https://arxiv.org/abs/2511.05867" r:id="rId27"/>
    <hyperlink xmlns:r="http://schemas.openxmlformats.org/officeDocument/2006/relationships" ref="D30" display="https://doi.org/10.1145/3737897.3767287" r:id="rId28"/>
    <hyperlink xmlns:r="http://schemas.openxmlformats.org/officeDocument/2006/relationships" ref="D31" display="https://arxiv.org/abs/2607.25297" r:id="rId29"/>
    <hyperlink xmlns:r="http://schemas.openxmlformats.org/officeDocument/2006/relationships" ref="D32" display="https://arxiv.org/abs/2512.15163" r:id="rId30"/>
    <hyperlink xmlns:r="http://schemas.openxmlformats.org/officeDocument/2006/relationships" ref="D33" display="https://arxiv.org/abs/2507.06323" r:id="rId31"/>
    <hyperlink xmlns:r="http://schemas.openxmlformats.org/officeDocument/2006/relationships" ref="D34" display="https://arxiv.org/abs/2605.24248" r:id="rId32"/>
    <hyperlink xmlns:r="http://schemas.openxmlformats.org/officeDocument/2006/relationships" ref="D35" display="https://doi.org/10.1109/AIoT66900.2025.00032" r:id="rId33"/>
    <hyperlink xmlns:r="http://schemas.openxmlformats.org/officeDocument/2006/relationships" ref="D36" display="https://arxiv.org/abs/2508.10991" r:id="rId34"/>
    <hyperlink xmlns:r="http://schemas.openxmlformats.org/officeDocument/2006/relationships" ref="D37" display="https://arxiv.org/abs/2506.01333" r:id="rId35"/>
    <hyperlink xmlns:r="http://schemas.openxmlformats.org/officeDocument/2006/relationships" ref="D38" display="https://arxiv.org/abs/2609.19091" r:id="rId36"/>
    <hyperlink xmlns:r="http://schemas.openxmlformats.org/officeDocument/2006/relationships" ref="D39" display="https://arxiv.org/abs/2609.18217" r:id="rId3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0" min="1" max="1"/>
    <col width="130" customWidth="1" style="10" min="2" max="2"/>
  </cols>
  <sheetData>
    <row r="1" ht="15" customHeight="1" s="11">
      <c r="A1" s="19" t="inlineStr">
        <is>
          <t>KODE</t>
        </is>
      </c>
      <c r="B1" s="19" t="inlineStr">
        <is>
          <t>DEFINISI OPERASIONAL</t>
        </is>
      </c>
    </row>
    <row r="2" ht="15" customHeight="1" s="11">
      <c r="A2" s="13" t="inlineStr">
        <is>
          <t>defense_primary</t>
        </is>
      </c>
      <c r="B2" s="13" t="inlineStr">
        <is>
          <t>Kontribusi utama paper adalah mekanisme pertahanan yang diimplementasikan atau dispesifikasikan.</t>
        </is>
      </c>
    </row>
    <row r="3" ht="15" customHeight="1" s="11">
      <c r="A3" s="13" t="inlineStr">
        <is>
          <t>defense_secondary</t>
        </is>
      </c>
      <c r="B3" s="13" t="inlineStr">
        <is>
          <t>Kontribusi utama serangan, pengukuran, atau survei, tetapi paper mengimplementasikan DAN mengevaluasi minimal satu mitigasi.</t>
        </is>
      </c>
    </row>
    <row r="4" ht="15" customHeight="1" s="11">
      <c r="A4" s="13" t="inlineStr">
        <is>
          <t>proposal_only</t>
        </is>
      </c>
      <c r="B4" s="13" t="inlineStr">
        <is>
          <t>Merekomendasikan atau menyketsa mitigasi tanpa implementasi atau evaluasi. Survei/SLR atas pertahanan BUKAN proposal_only: pakai survey_review.</t>
        </is>
      </c>
    </row>
    <row r="5" ht="15" customHeight="1" s="11">
      <c r="A5" s="13" t="inlineStr">
        <is>
          <t>attack</t>
        </is>
      </c>
      <c r="B5" s="13" t="inlineStr">
        <is>
          <t>Kontribusi utama serangan atau eksploit, tanpa mitigasi yang dievaluasi.</t>
        </is>
      </c>
    </row>
    <row r="6" ht="15" customHeight="1" s="11">
      <c r="A6" s="13" t="inlineStr">
        <is>
          <t>survey_review</t>
        </is>
      </c>
      <c r="B6" s="13" t="inlineStr">
        <is>
          <t>Survei, SLR, taksonomi, atau tinjauan.</t>
        </is>
      </c>
    </row>
    <row r="7" ht="15" customHeight="1" s="11">
      <c r="A7" s="13" t="inlineStr">
        <is>
          <t>benchmark_measurement</t>
        </is>
      </c>
      <c r="B7" s="13" t="inlineStr">
        <is>
          <t>Benchmark, dataset, atau studi pengukuran tanpa mitigasi yang dievaluasi.</t>
        </is>
      </c>
    </row>
    <row r="8" ht="15" customHeight="1" s="11">
      <c r="A8" s="13" t="inlineStr">
        <is>
          <t>position_other</t>
        </is>
      </c>
      <c r="B8" s="13" t="inlineStr">
        <is>
          <t>Makalah posisi, konseptual, indeks/kerangka penilaian tanpa mekanisme penegakan.</t>
        </is>
      </c>
    </row>
    <row r="9" ht="15" customHeight="1" s="11">
      <c r="A9" s="13" t="inlineStr">
        <is>
          <t>not_defense</t>
        </is>
      </c>
      <c r="B9" s="13" t="inlineStr">
        <is>
          <t>Di luar cakupan pertahanan karena alasan lain (jelaskan di catatan).</t>
        </is>
      </c>
    </row>
    <row r="10" ht="23.85" customHeight="1" s="11">
      <c r="A10" s="13" t="inlineStr">
        <is>
          <t>llm_dlm_keputusan = ya</t>
        </is>
      </c>
      <c r="B10" s="13" t="inlineStr">
        <is>
          <t>Keputusan izin/tolak/deteksi pada runtime bergantung pada keluaran LLM atau model ML (LLM-as-judge, klasifikator ML, LLM yang menormalisasi input dan hasilnya menentukan keputusan).</t>
        </is>
      </c>
    </row>
    <row r="11" ht="15" customHeight="1" s="11">
      <c r="A11" s="13" t="inlineStr">
        <is>
          <t>llm_dlm_keputusan = tidak</t>
        </is>
      </c>
      <c r="B11" s="13" t="inlineStr">
        <is>
          <t>Keputusan murni dari aturan, kriptografi, atau mekanisme OS. Hanya kasus ini yang boleh berparadigma deterministic_policy.</t>
        </is>
      </c>
    </row>
    <row r="12" ht="15" customHeight="1" s="11">
      <c r="A12" s="13" t="inlineStr">
        <is>
          <t>paradigma</t>
        </is>
      </c>
      <c r="B12" s="13" t="inlineStr">
        <is>
          <t>Pilih prinsip penegakan, bukan nama produk. Hibrida: pilih yang menentukan keputusan akhir dan jelaskan sisanya di ringkasan.</t>
        </is>
      </c>
    </row>
    <row r="13" ht="15" customHeight="1" s="11">
      <c r="A13" s="13" t="inlineStr">
        <is>
          <t>crossings</t>
        </is>
      </c>
      <c r="B13" s="13" t="inlineStr">
        <is>
          <t>R1 U-&gt;H; R2 Si-&gt;L; R3 L-&gt;Si; R4 C&lt;-&gt;Theta / Si&lt;-&gt;Theta; R5 Si-&gt;Xi; R6 komposisi lintas S1..Sk; R7 descriptor(t1) vs descriptor(t0).</t>
        </is>
      </c>
    </row>
    <row r="14" ht="35.05" customHeight="1" s="11">
      <c r="A14" s="13" t="inlineStr">
        <is>
          <t>kelas</t>
        </is>
      </c>
      <c r="B14" s="13" t="inlineStr">
        <is>
          <t>A1 poisoning metadata; A2 injeksi tak langsung; A3 miscall deskripsi; B1 rug pull; B2 drift registri; B3 mutasi skema; C1 confused deputy; C2 caller identity; C3 otorisasi transport; C4 intent inversion; C5 sink enforcement; D1 komposisi/eksfiltrasi; D2 bypass guardrail multi-langkah; D3 supply chain. Penyalahgunaan sumber daya/DoS: tulis OUT_OF_TAXONOMY.</t>
        </is>
      </c>
    </row>
    <row r="15" ht="15" customHeight="1" s="11">
      <c r="A15" s="13" t="inlineStr">
        <is>
          <t>kelas_dievaluasi</t>
        </is>
      </c>
      <c r="B15" s="13" t="inlineStr">
        <is>
          <t>Hanya kelas yang punya eksperimen di paper. Kelas yang cuma diklaim masuk kelas_diklaim. Kelas_dievaluasi harus subset kelas_diklaim.</t>
        </is>
      </c>
    </row>
    <row r="16" ht="23.85" customHeight="1" s="11">
      <c r="A16" s="13" t="inlineStr">
        <is>
          <t>jenis_evaluasi = independent_only / author_run+independent</t>
        </is>
      </c>
      <c r="B16" s="13" t="inlineStr">
        <is>
          <t>Paper LAIN di korpus mengeksekusi eksperimen terhadap pertahanan ini (isi evaluator_independen). Sekadar menyebut atau mengutip tidak dihitung. Perbandingan baseline oleh paper pesaing dihitung, beri catatan "baseline pesaing".</t>
        </is>
      </c>
    </row>
    <row r="17" ht="15" customHeight="1" s="11">
      <c r="A17" s="13" t="inlineStr">
        <is>
          <t>jenis_evaluasi = deployment_measurement</t>
        </is>
      </c>
      <c r="B17" s="13" t="inlineStr">
        <is>
          <t>Studi pengukuran mengamati kontrol ini di deployment nyata (mis. berapa server yang mengimplementasikannya). Maturitas dibiarkan kosong.</t>
        </is>
      </c>
    </row>
    <row r="18" ht="23.85" customHeight="1" s="11">
      <c r="A18" s="13" t="inlineStr">
        <is>
          <t>adaptif = ya</t>
        </is>
      </c>
      <c r="B18" s="13" t="inlineStr">
        <is>
          <t>Serangan dirancang atau dioptimasi terhadap pertahanan ini dengan pengetahuan cara kerjanya (white-box, defense-aware, iterasi terhadap keputusan pertahanan). Wajib ada kutipan.</t>
        </is>
      </c>
    </row>
    <row r="19" ht="15" customHeight="1" s="11">
      <c r="A19" s="13" t="inlineStr">
        <is>
          <t>adaptif = tidak</t>
        </is>
      </c>
      <c r="B19" s="13" t="inlineStr">
        <is>
          <t>Serangan dari dataset atau benchmark tetap, termasuk variasi parafrase atau "unseen", kecuali disetel terhadap pertahanan.</t>
        </is>
      </c>
    </row>
    <row r="20" ht="15" customHeight="1" s="11">
      <c r="A20" s="13" t="inlineStr">
        <is>
          <t>adaptif = tidak_jelas</t>
        </is>
      </c>
      <c r="B20" s="13" t="inlineStr">
        <is>
          <t>Teks tidak memungkinkan keputusan. Jangan diputuskan lewat dugaan.</t>
        </is>
      </c>
    </row>
    <row r="21" ht="15" customHeight="1" s="11">
      <c r="A21" s="13" t="inlineStr">
        <is>
          <t>adaptif = n/a_tanpa_evaluasi</t>
        </is>
      </c>
      <c r="B21" s="13" t="inlineStr">
        <is>
          <t>Tidak ada evaluasi empiris (jenis_evaluasi = none).</t>
        </is>
      </c>
    </row>
    <row r="22" ht="23.85" customHeight="1" s="11">
      <c r="A22" s="13" t="inlineStr">
        <is>
          <t>deployment</t>
        </is>
      </c>
      <c r="B22" s="13" t="inlineStr">
        <is>
          <t>spec_normatif: MUST/SHOULD di revisi spesifikasi (bukti: Tabel 14 Section 5). produksi_bukti_publik: rilis atau dokumentasi resmi bertanggal yang menunjukkan mekanisme dikirim. Ketersediaan kode open source saja = prototype_open_source (bukan L3).</t>
        </is>
      </c>
    </row>
    <row r="23" ht="15" customHeight="1" s="11">
      <c r="A23" s="13" t="inlineStr">
        <is>
          <t>L3</t>
        </is>
      </c>
      <c r="B23" s="13" t="inlineStr">
        <is>
          <t>Dilaporkan TERPISAH dari L0-L2 di Section 6 (rujuk Tabel 15). Jangan dihitung sebagai persentase literatur.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0" min="1" max="1"/>
  </cols>
  <sheetData>
    <row r="1" ht="15" customHeight="1" s="11">
      <c r="A1" s="20" t="inlineStr">
        <is>
          <t>peran</t>
        </is>
      </c>
      <c r="B1" s="20" t="inlineStr">
        <is>
          <t>paradigma</t>
        </is>
      </c>
      <c r="C1" s="20" t="inlineStr">
        <is>
          <t>llm_dlm_keputusan</t>
        </is>
      </c>
      <c r="D1" s="20" t="inlineStr">
        <is>
          <t>titik_penegakan</t>
        </is>
      </c>
      <c r="E1" s="20" t="inlineStr">
        <is>
          <t>jenis_evaluasi</t>
        </is>
      </c>
      <c r="F1" s="20" t="inlineStr">
        <is>
          <t>asal_set_serangan</t>
        </is>
      </c>
      <c r="G1" s="20" t="inlineStr">
        <is>
          <t>adaptif</t>
        </is>
      </c>
      <c r="H1" s="20" t="inlineStr">
        <is>
          <t>deployment</t>
        </is>
      </c>
      <c r="I1" s="20" t="inlineStr">
        <is>
          <t>teks_lengkap</t>
        </is>
      </c>
      <c r="K1" s="20" t="inlineStr">
        <is>
          <t>Daftar ini dipakai dropdown di sheet Koding. Jangan ubah urutan atau ejaan.</t>
        </is>
      </c>
    </row>
    <row r="2" ht="15" customHeight="1" s="11">
      <c r="A2" s="20" t="inlineStr">
        <is>
          <t>defense_primary</t>
        </is>
      </c>
      <c r="B2" s="20" t="inlineStr">
        <is>
          <t>content_inspection_static</t>
        </is>
      </c>
      <c r="C2" s="20" t="inlineStr">
        <is>
          <t>ya</t>
        </is>
      </c>
      <c r="D2" s="20" t="inlineStr">
        <is>
          <t>H</t>
        </is>
      </c>
      <c r="E2" s="20" t="inlineStr">
        <is>
          <t>none</t>
        </is>
      </c>
      <c r="F2" s="20" t="inlineStr">
        <is>
          <t>authors_own</t>
        </is>
      </c>
      <c r="G2" s="20" t="inlineStr">
        <is>
          <t>ya</t>
        </is>
      </c>
      <c r="H2" s="20" t="inlineStr">
        <is>
          <t>none</t>
        </is>
      </c>
      <c r="I2" s="20" t="inlineStr">
        <is>
          <t>ya</t>
        </is>
      </c>
    </row>
    <row r="3" ht="15" customHeight="1" s="11">
      <c r="A3" s="20" t="inlineStr">
        <is>
          <t>defense_secondary</t>
        </is>
      </c>
      <c r="B3" s="20" t="inlineStr">
        <is>
          <t>content_inspection_runtime</t>
        </is>
      </c>
      <c r="C3" s="20" t="inlineStr">
        <is>
          <t>tidak</t>
        </is>
      </c>
      <c r="D3" s="20" t="inlineStr">
        <is>
          <t>C</t>
        </is>
      </c>
      <c r="E3" s="20" t="inlineStr">
        <is>
          <t>author_run</t>
        </is>
      </c>
      <c r="F3" s="20" t="inlineStr">
        <is>
          <t>third_party_public</t>
        </is>
      </c>
      <c r="G3" s="20" t="inlineStr">
        <is>
          <t>tidak</t>
        </is>
      </c>
      <c r="H3" s="20" t="inlineStr">
        <is>
          <t>prototype_open_source</t>
        </is>
      </c>
      <c r="I3" s="20" t="inlineStr">
        <is>
          <t>tidak</t>
        </is>
      </c>
    </row>
    <row r="4" ht="15" customHeight="1" s="11">
      <c r="A4" s="20" t="inlineStr">
        <is>
          <t>proposal_only</t>
        </is>
      </c>
      <c r="B4" s="20" t="inlineStr">
        <is>
          <t>human_approval</t>
        </is>
      </c>
      <c r="C4" s="20" t="inlineStr">
        <is>
          <t>tidak_jelas</t>
        </is>
      </c>
      <c r="D4" s="20" t="inlineStr">
        <is>
          <t>S</t>
        </is>
      </c>
      <c r="E4" s="20" t="inlineStr">
        <is>
          <t>author_run+independent</t>
        </is>
      </c>
      <c r="F4" s="20" t="inlineStr">
        <is>
          <t>mixed</t>
        </is>
      </c>
      <c r="G4" s="20" t="inlineStr">
        <is>
          <t>tidak_jelas</t>
        </is>
      </c>
      <c r="H4" s="20" t="inlineStr">
        <is>
          <t>produksi_bukti_publik</t>
        </is>
      </c>
    </row>
    <row r="5" ht="15" customHeight="1" s="11">
      <c r="A5" s="20" t="inlineStr">
        <is>
          <t>attack</t>
        </is>
      </c>
      <c r="B5" s="20" t="inlineStr">
        <is>
          <t>isolation_containment</t>
        </is>
      </c>
      <c r="D5" s="20" t="inlineStr">
        <is>
          <t>gateway_proxy</t>
        </is>
      </c>
      <c r="E5" s="20" t="inlineStr">
        <is>
          <t>independent_only</t>
        </is>
      </c>
      <c r="F5" s="20" t="inlineStr">
        <is>
          <t>none</t>
        </is>
      </c>
      <c r="G5" s="20" t="inlineStr">
        <is>
          <t>n/a_tanpa_evaluasi</t>
        </is>
      </c>
      <c r="H5" s="20" t="inlineStr">
        <is>
          <t>spec_normatif</t>
        </is>
      </c>
    </row>
    <row r="6" ht="15" customHeight="1" s="11">
      <c r="A6" s="20" t="inlineStr">
        <is>
          <t>survey_review</t>
        </is>
      </c>
      <c r="B6" s="20" t="inlineStr">
        <is>
          <t>deterministic_policy</t>
        </is>
      </c>
      <c r="D6" s="20" t="inlineStr">
        <is>
          <t>registry</t>
        </is>
      </c>
      <c r="E6" s="20" t="inlineStr">
        <is>
          <t>deployment_measurement</t>
        </is>
      </c>
    </row>
    <row r="7" ht="15" customHeight="1" s="11">
      <c r="A7" s="20" t="inlineStr">
        <is>
          <t>benchmark_measurement</t>
        </is>
      </c>
      <c r="B7" s="20" t="inlineStr">
        <is>
          <t>capability_or_token</t>
        </is>
      </c>
      <c r="D7" s="20" t="inlineStr">
        <is>
          <t>Theta</t>
        </is>
      </c>
    </row>
    <row r="8" ht="15" customHeight="1" s="11">
      <c r="A8" s="20" t="inlineStr">
        <is>
          <t>position_other</t>
        </is>
      </c>
      <c r="B8" s="20" t="inlineStr">
        <is>
          <t>integrity_provenance</t>
        </is>
      </c>
      <c r="D8" s="20" t="inlineStr">
        <is>
          <t>X</t>
        </is>
      </c>
    </row>
    <row r="9" ht="15" customHeight="1" s="11">
      <c r="A9" s="20" t="inlineStr">
        <is>
          <t>not_defense</t>
        </is>
      </c>
      <c r="B9" s="20" t="inlineStr">
        <is>
          <t>protocol_provision</t>
        </is>
      </c>
      <c r="D9" s="20" t="inlineStr">
        <is>
          <t>offline_analysis</t>
        </is>
      </c>
    </row>
    <row r="10" ht="15" customHeight="1" s="11">
      <c r="B10" s="20" t="inlineStr">
        <is>
          <t>lainnya</t>
        </is>
      </c>
      <c r="D10" s="20" t="inlineStr">
        <is>
          <t>lainnya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2026-09-29T09:22:48Z</dcterms:created>
  <dcterms:modified xsi:type="dcterms:W3CDTF">2026-09-29T11:59:06Z</dcterms:modified>
  <cp:revision>0</cp:revision>
</cp:coreProperties>
</file>